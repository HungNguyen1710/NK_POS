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TQA\NTQA\"/>
    </mc:Choice>
  </mc:AlternateContent>
  <xr:revisionPtr revIDLastSave="0" documentId="13_ncr:1_{A2A8B58E-2ABA-4F22-A680-20480CC56A0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Table 1" sheetId="1" r:id="rId1"/>
    <sheet name="Danh Muc" sheetId="2" r:id="rId2"/>
    <sheet name="QLSP" sheetId="3" r:id="rId3"/>
    <sheet name="XNT" sheetId="4" r:id="rId4"/>
    <sheet name="Khach Hang" sheetId="5" r:id="rId5"/>
    <sheet name="Danh muc HH" sheetId="6" r:id="rId6"/>
    <sheet name="Hoa don" sheetId="7" r:id="rId7"/>
    <sheet name="Sheet1" sheetId="8" r:id="rId8"/>
  </sheets>
  <externalReferences>
    <externalReference r:id="rId9"/>
  </externalReferences>
  <definedNames>
    <definedName name="_xlnm._FilterDatabase" localSheetId="1" hidden="1">'Danh Muc'!$A$1:$G$1</definedName>
    <definedName name="_xlnm._FilterDatabase" localSheetId="5" hidden="1">'Danh muc HH'!$A$1:$E$2758</definedName>
    <definedName name="GroupA">'Danh muc HH'!$B$107:$B$295</definedName>
    <definedName name="GroupB">'Danh muc HH'!$B$297:$B$493</definedName>
    <definedName name="GroupC">'Danh muc HH'!$B$495:$B$737</definedName>
    <definedName name="GroupD">'Danh muc HH'!$B$739:$B$943</definedName>
    <definedName name="GroupE">'Danh muc HH'!$B$945:$B$1096</definedName>
    <definedName name="GroupF">'Danh muc HH'!$B$1098:$B$1215</definedName>
    <definedName name="GroupG">'Danh muc HH'!$B$1217:$B$1373</definedName>
    <definedName name="GroupH">'Danh muc HH'!$B$1375:$B$1533</definedName>
    <definedName name="GroupI">'Danh muc HH'!$B$1535:$B$1650</definedName>
    <definedName name="GroupK">'Danh muc HH'!$B$1652:$B$1808</definedName>
    <definedName name="GroupL">'Danh muc HH'!$B$1810:$B$1945</definedName>
    <definedName name="GroupM">'Danh muc HH'!$B$1947:$B$2130</definedName>
    <definedName name="GroupN">'Danh muc HH'!$B$2132:$B$2294</definedName>
    <definedName name="GroupO">'Danh muc HH'!$B$2296:$B$2421</definedName>
    <definedName name="GroupP">'Danh muc HH'!$B$2423:$B$2616</definedName>
    <definedName name="GroupR">'Danh muc HH'!$B$2618:$B$2735</definedName>
    <definedName name="GroupS">'Danh muc HH'!$B$2737:$B$2858</definedName>
    <definedName name="GroupTH">'Danh muc HH'!$B$2860:$B$3859</definedName>
    <definedName name="NHOMHANG">'Danh muc HH'!$I$2:$I$20</definedName>
    <definedName name="NUMB">'Danh muc HH'!$B$2:$B$105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7" l="1"/>
  <c r="F21" i="7"/>
  <c r="G21" i="7" s="1"/>
  <c r="F20" i="7"/>
  <c r="G20" i="7" s="1"/>
  <c r="F19" i="7"/>
  <c r="G19" i="7" s="1"/>
  <c r="F18" i="7"/>
  <c r="G18" i="7" s="1"/>
  <c r="F17" i="7"/>
  <c r="G17" i="7" s="1"/>
  <c r="F16" i="7"/>
  <c r="F15" i="7"/>
  <c r="G15" i="7" s="1"/>
  <c r="F14" i="7"/>
  <c r="F22" i="7"/>
  <c r="G22" i="7" s="1"/>
  <c r="F23" i="7"/>
  <c r="F24" i="7"/>
  <c r="F25" i="7"/>
  <c r="F26" i="7"/>
  <c r="F27" i="7"/>
  <c r="F28" i="7"/>
  <c r="F29" i="7"/>
  <c r="F30" i="7"/>
  <c r="F31" i="7"/>
  <c r="F32" i="7"/>
  <c r="G14" i="7"/>
  <c r="E33" i="7"/>
  <c r="D25" i="7"/>
  <c r="D26" i="7"/>
  <c r="D27" i="7"/>
  <c r="D28" i="7"/>
  <c r="D29" i="7"/>
  <c r="D30" i="7"/>
  <c r="D31" i="7"/>
  <c r="D32" i="7"/>
  <c r="D23" i="7"/>
  <c r="D22" i="7"/>
  <c r="D19" i="7"/>
  <c r="D14" i="7"/>
  <c r="D20" i="7"/>
  <c r="D18" i="7"/>
  <c r="D17" i="7"/>
  <c r="D16" i="7"/>
  <c r="D15" i="7"/>
  <c r="D24" i="7"/>
  <c r="D21" i="7"/>
  <c r="D13" i="7"/>
  <c r="G16" i="7"/>
  <c r="B2" i="8"/>
  <c r="B1" i="8"/>
  <c r="G13" i="7" l="1"/>
  <c r="G33" i="7" s="1"/>
  <c r="E123" i="6"/>
  <c r="E2" i="6" l="1"/>
  <c r="E3" i="6"/>
  <c r="E4" i="6"/>
  <c r="E5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D35" i="7"/>
  <c r="E37" i="7" l="1"/>
  <c r="N21" i="3" l="1"/>
  <c r="N22" i="3"/>
  <c r="N23" i="3"/>
  <c r="N24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7" i="3"/>
  <c r="M8" i="3"/>
  <c r="O8" i="3" s="1"/>
  <c r="M9" i="3"/>
  <c r="O9" i="3" s="1"/>
  <c r="M10" i="3"/>
  <c r="O10" i="3" s="1"/>
  <c r="M11" i="3"/>
  <c r="O11" i="3" s="1"/>
  <c r="M12" i="3"/>
  <c r="O12" i="3" s="1"/>
  <c r="M13" i="3"/>
  <c r="O13" i="3" s="1"/>
  <c r="M14" i="3"/>
  <c r="M15" i="3"/>
  <c r="M16" i="3"/>
  <c r="M17" i="3"/>
  <c r="M18" i="3"/>
  <c r="M19" i="3"/>
  <c r="M20" i="3"/>
  <c r="O20" i="3" s="1"/>
  <c r="M21" i="3"/>
  <c r="O21" i="3" s="1"/>
  <c r="M22" i="3"/>
  <c r="O22" i="3" s="1"/>
  <c r="M23" i="3"/>
  <c r="O23" i="3" s="1"/>
  <c r="M24" i="3"/>
  <c r="O24" i="3" s="1"/>
  <c r="M7" i="3"/>
  <c r="O7" i="3" s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7" i="3"/>
  <c r="O19" i="3" l="1"/>
  <c r="O18" i="3"/>
  <c r="O17" i="3"/>
  <c r="O16" i="3"/>
  <c r="O15" i="3"/>
  <c r="J1" i="3"/>
  <c r="O14" i="3"/>
</calcChain>
</file>

<file path=xl/sharedStrings.xml><?xml version="1.0" encoding="utf-8"?>
<sst xmlns="http://schemas.openxmlformats.org/spreadsheetml/2006/main" count="7980" uniqueCount="2455">
  <si>
    <r>
      <rPr>
        <vertAlign val="subscript"/>
        <sz val="12"/>
        <color rgb="FF006FBF"/>
        <rFont val="Bahnschrift"/>
        <family val="2"/>
      </rPr>
      <t xml:space="preserve">DANH  MỤC  SẢN  PHẨM          </t>
    </r>
    <r>
      <rPr>
        <b/>
        <sz val="12"/>
        <color rgb="FFFF0000"/>
        <rFont val="Arial Narrow"/>
        <family val="2"/>
      </rPr>
      <t>ZALO: 0938 305 325 - 0909 23 99 10 - 0906 73 47 67        Tel: 3868 4225 - 3868 4469</t>
    </r>
  </si>
  <si>
    <r>
      <rPr>
        <b/>
        <sz val="10"/>
        <color rgb="FF006FBF"/>
        <rFont val="Arial Narrow"/>
        <family val="2"/>
      </rPr>
      <t>TênĐVT        Giá bán</t>
    </r>
  </si>
  <si>
    <r>
      <rPr>
        <sz val="11"/>
        <rFont val="Calibri"/>
        <family val="2"/>
      </rPr>
      <t>3B chai (C/50v) MK</t>
    </r>
  </si>
  <si>
    <r>
      <rPr>
        <sz val="11"/>
        <rFont val="Calibri"/>
        <family val="2"/>
      </rPr>
      <t>Chai</t>
    </r>
  </si>
  <si>
    <r>
      <rPr>
        <sz val="11"/>
        <rFont val="Calibri"/>
        <family val="2"/>
      </rPr>
      <t>An Nữ Đan</t>
    </r>
  </si>
  <si>
    <r>
      <rPr>
        <sz val="11"/>
        <rFont val="Calibri"/>
        <family val="2"/>
      </rPr>
      <t>3B PV (H/100v)</t>
    </r>
  </si>
  <si>
    <r>
      <rPr>
        <sz val="11"/>
        <rFont val="Calibri"/>
        <family val="2"/>
      </rPr>
      <t>Hộp</t>
    </r>
  </si>
  <si>
    <r>
      <rPr>
        <sz val="11"/>
        <rFont val="Calibri"/>
        <family val="2"/>
      </rPr>
      <t>An Tâm Ngủ Ngon</t>
    </r>
  </si>
  <si>
    <r>
      <rPr>
        <sz val="11"/>
        <rFont val="Calibri"/>
        <family val="2"/>
      </rPr>
      <t>3B rẻ (H/100V)-DAKTIN</t>
    </r>
  </si>
  <si>
    <r>
      <rPr>
        <sz val="11"/>
        <rFont val="Calibri"/>
        <family val="2"/>
      </rPr>
      <t>An trĩ vương</t>
    </r>
  </si>
  <si>
    <r>
      <rPr>
        <sz val="11"/>
        <rFont val="Calibri"/>
        <family val="2"/>
      </rPr>
      <t>3B vĩ (H/100v) MK</t>
    </r>
  </si>
  <si>
    <r>
      <rPr>
        <sz val="11"/>
        <rFont val="Calibri"/>
        <family val="2"/>
      </rPr>
      <t>An Trĩ Vương Gel</t>
    </r>
  </si>
  <si>
    <r>
      <rPr>
        <sz val="11"/>
        <rFont val="Calibri"/>
        <family val="2"/>
      </rPr>
      <t>Tube</t>
    </r>
  </si>
  <si>
    <r>
      <rPr>
        <sz val="11"/>
        <rFont val="Calibri"/>
        <family val="2"/>
      </rPr>
      <t>A 5000IU (H/100v)</t>
    </r>
  </si>
  <si>
    <r>
      <rPr>
        <sz val="11"/>
        <rFont val="Calibri"/>
        <family val="2"/>
      </rPr>
      <t>An triệu (lớn) 100ML</t>
    </r>
  </si>
  <si>
    <r>
      <rPr>
        <sz val="11"/>
        <rFont val="Calibri"/>
        <family val="2"/>
      </rPr>
      <t>Acemol 325 (C/40v)</t>
    </r>
  </si>
  <si>
    <r>
      <rPr>
        <sz val="11"/>
        <rFont val="Calibri"/>
        <family val="2"/>
      </rPr>
      <t>An triệu (nhỏ) 60ml</t>
    </r>
  </si>
  <si>
    <r>
      <rPr>
        <sz val="11"/>
        <rFont val="Calibri"/>
        <family val="2"/>
      </rPr>
      <t>Acemuc 100 kids</t>
    </r>
  </si>
  <si>
    <r>
      <rPr>
        <sz val="11"/>
        <rFont val="Calibri"/>
        <family val="2"/>
      </rPr>
      <t>Antot - IQ</t>
    </r>
  </si>
  <si>
    <r>
      <rPr>
        <sz val="11"/>
        <rFont val="Calibri"/>
        <family val="2"/>
      </rPr>
      <t>Acemuc 200-VIEN</t>
    </r>
  </si>
  <si>
    <r>
      <rPr>
        <sz val="11"/>
        <rFont val="Calibri"/>
        <family val="2"/>
      </rPr>
      <t>Áo đình ( Không nhận hàng đổi trả )</t>
    </r>
  </si>
  <si>
    <r>
      <rPr>
        <sz val="11"/>
        <rFont val="Calibri"/>
        <family val="2"/>
      </rPr>
      <t>Ace-tazolamic (H/100V)</t>
    </r>
  </si>
  <si>
    <r>
      <rPr>
        <sz val="11"/>
        <rFont val="Calibri"/>
        <family val="2"/>
      </rPr>
      <t>Apirin 81 VDP-Vĩ</t>
    </r>
  </si>
  <si>
    <r>
      <rPr>
        <sz val="11"/>
        <rFont val="Calibri"/>
        <family val="2"/>
      </rPr>
      <t>Ace-tyl 200  vĩ 2/9</t>
    </r>
  </si>
  <si>
    <r>
      <rPr>
        <sz val="11"/>
        <rFont val="Calibri"/>
        <family val="2"/>
      </rPr>
      <t>Apirin PH8 -Mekophar</t>
    </r>
  </si>
  <si>
    <r>
      <rPr>
        <sz val="11"/>
        <rFont val="Calibri"/>
        <family val="2"/>
      </rPr>
      <t>Ace-tyl chai 2/9 (C/80v)</t>
    </r>
  </si>
  <si>
    <r>
      <rPr>
        <sz val="11"/>
        <rFont val="Calibri"/>
        <family val="2"/>
      </rPr>
      <t>Apitim</t>
    </r>
  </si>
  <si>
    <r>
      <rPr>
        <sz val="11"/>
        <rFont val="Calibri"/>
        <family val="2"/>
      </rPr>
      <t>Acetyl GÓI ( 2/9) (H/30 gói)</t>
    </r>
  </si>
  <si>
    <r>
      <rPr>
        <sz val="11"/>
        <rFont val="Calibri"/>
        <family val="2"/>
      </rPr>
      <t>Aquadetrim -K2 VN</t>
    </r>
  </si>
  <si>
    <r>
      <rPr>
        <sz val="11"/>
        <rFont val="Calibri"/>
        <family val="2"/>
      </rPr>
      <t>Ace-tyl vĩ MKP-CT</t>
    </r>
  </si>
  <si>
    <r>
      <rPr>
        <sz val="11"/>
        <rFont val="Calibri"/>
        <family val="2"/>
      </rPr>
      <t>Arginin PV (H/60v)</t>
    </r>
  </si>
  <si>
    <r>
      <rPr>
        <sz val="11"/>
        <rFont val="Calibri"/>
        <family val="2"/>
      </rPr>
      <t>Acigmentin 625-Minh Hải</t>
    </r>
  </si>
  <si>
    <r>
      <rPr>
        <sz val="11"/>
        <rFont val="Calibri"/>
        <family val="2"/>
      </rPr>
      <t>Arthrobic 15 (C/30v) MK</t>
    </r>
  </si>
  <si>
    <r>
      <rPr>
        <sz val="11"/>
        <rFont val="Calibri"/>
        <family val="2"/>
      </rPr>
      <t>Acimentin 1G - MINH HẢI</t>
    </r>
  </si>
  <si>
    <r>
      <rPr>
        <sz val="11"/>
        <rFont val="Calibri"/>
        <family val="2"/>
      </rPr>
      <t>Arthrobic 7.5 (C/50v) MK</t>
    </r>
  </si>
  <si>
    <r>
      <rPr>
        <sz val="11"/>
        <rFont val="Calibri"/>
        <family val="2"/>
      </rPr>
      <t>Acy 200 -viên stda</t>
    </r>
  </si>
  <si>
    <r>
      <rPr>
        <sz val="11"/>
        <rFont val="Calibri"/>
        <family val="2"/>
      </rPr>
      <t>Artiso sủi</t>
    </r>
  </si>
  <si>
    <r>
      <rPr>
        <sz val="11"/>
        <rFont val="Calibri"/>
        <family val="2"/>
      </rPr>
      <t>Lox</t>
    </r>
  </si>
  <si>
    <r>
      <rPr>
        <sz val="11"/>
        <rFont val="Calibri"/>
        <family val="2"/>
      </rPr>
      <t>Acyc lovir 200 (H/10v) DMK</t>
    </r>
  </si>
  <si>
    <r>
      <rPr>
        <sz val="11"/>
        <rFont val="Calibri"/>
        <family val="2"/>
      </rPr>
      <t>ASA</t>
    </r>
  </si>
  <si>
    <r>
      <rPr>
        <sz val="11"/>
        <rFont val="Calibri"/>
        <family val="2"/>
      </rPr>
      <t>ACYCLOVIR 400 STD</t>
    </r>
  </si>
  <si>
    <r>
      <rPr>
        <sz val="11"/>
        <rFont val="Calibri"/>
        <family val="2"/>
      </rPr>
      <t>Aspamic 1g -DMC</t>
    </r>
  </si>
  <si>
    <r>
      <rPr>
        <sz val="11"/>
        <rFont val="Calibri"/>
        <family val="2"/>
      </rPr>
      <t>ACYCLOVIR 800 STD</t>
    </r>
  </si>
  <si>
    <r>
      <rPr>
        <sz val="11"/>
        <rFont val="Calibri"/>
        <family val="2"/>
      </rPr>
      <t>Aspartam (H/50 gói)  -XA</t>
    </r>
  </si>
  <si>
    <r>
      <rPr>
        <sz val="11"/>
        <rFont val="Calibri"/>
        <family val="2"/>
      </rPr>
      <t>Acyclovir stda</t>
    </r>
  </si>
  <si>
    <r>
      <rPr>
        <sz val="11"/>
        <rFont val="Calibri"/>
        <family val="2"/>
      </rPr>
      <t>Tuýp</t>
    </r>
  </si>
  <si>
    <r>
      <rPr>
        <sz val="11"/>
        <rFont val="Calibri"/>
        <family val="2"/>
      </rPr>
      <t>Aspirin 81 (C/100V)</t>
    </r>
  </si>
  <si>
    <r>
      <rPr>
        <sz val="11"/>
        <rFont val="Calibri"/>
        <family val="2"/>
      </rPr>
      <t>AD vĩ (h/100v) USA</t>
    </r>
  </si>
  <si>
    <r>
      <rPr>
        <sz val="11"/>
        <rFont val="Calibri"/>
        <family val="2"/>
      </rPr>
      <t>Aspirin 81 (H/100v) MK</t>
    </r>
  </si>
  <si>
    <r>
      <rPr>
        <sz val="11"/>
        <rFont val="Calibri"/>
        <family val="2"/>
      </rPr>
      <t>AD vĩ Phúc vinh</t>
    </r>
  </si>
  <si>
    <r>
      <rPr>
        <sz val="11"/>
        <rFont val="Calibri"/>
        <family val="2"/>
      </rPr>
      <t>Aspirin 81 DMC -3-2023</t>
    </r>
  </si>
  <si>
    <r>
      <rPr>
        <sz val="11"/>
        <rFont val="Calibri"/>
        <family val="2"/>
      </rPr>
      <t>ADagrin (H/3v)</t>
    </r>
  </si>
  <si>
    <r>
      <rPr>
        <sz val="11"/>
        <rFont val="Calibri"/>
        <family val="2"/>
      </rPr>
      <t>Aspirin PH8 (H100V) QB</t>
    </r>
  </si>
  <si>
    <r>
      <rPr>
        <sz val="11"/>
        <rFont val="Calibri"/>
        <family val="2"/>
      </rPr>
      <t>Aladin - chí</t>
    </r>
  </si>
  <si>
    <r>
      <rPr>
        <sz val="11"/>
        <rFont val="Calibri"/>
        <family val="2"/>
      </rPr>
      <t>ASTEX gói (H/30 gói)</t>
    </r>
  </si>
  <si>
    <r>
      <rPr>
        <sz val="11"/>
        <rFont val="Calibri"/>
        <family val="2"/>
      </rPr>
      <t>Alaxan (H/100v)</t>
    </r>
  </si>
  <si>
    <r>
      <rPr>
        <sz val="11"/>
        <rFont val="Calibri"/>
        <family val="2"/>
      </rPr>
      <t>Atenolol 50mg STD</t>
    </r>
  </si>
  <si>
    <r>
      <rPr>
        <sz val="11"/>
        <rFont val="Calibri"/>
        <family val="2"/>
      </rPr>
      <t>Aller F chai (C/100v) MK-</t>
    </r>
  </si>
  <si>
    <r>
      <rPr>
        <sz val="11"/>
        <rFont val="Calibri"/>
        <family val="2"/>
      </rPr>
      <t>AUBIDIL 1G -Bình định</t>
    </r>
  </si>
  <si>
    <r>
      <rPr>
        <sz val="11"/>
        <rFont val="Calibri"/>
        <family val="2"/>
      </rPr>
      <t>Aller F vĩ (H/100v) MK-CT1</t>
    </r>
  </si>
  <si>
    <r>
      <rPr>
        <sz val="11"/>
        <rFont val="Calibri"/>
        <family val="2"/>
      </rPr>
      <t>Aug 1G (H/14v) MK</t>
    </r>
  </si>
  <si>
    <r>
      <rPr>
        <sz val="11"/>
        <rFont val="Calibri"/>
        <family val="2"/>
      </rPr>
      <t>Allo 300 vĩ</t>
    </r>
  </si>
  <si>
    <r>
      <rPr>
        <sz val="11"/>
        <rFont val="Calibri"/>
        <family val="2"/>
      </rPr>
      <t>Aug 312.5 (H/12 gói) MK</t>
    </r>
  </si>
  <si>
    <r>
      <rPr>
        <sz val="11"/>
        <rFont val="Calibri"/>
        <family val="2"/>
      </rPr>
      <t>Allopurinol 300 Dmc</t>
    </r>
  </si>
  <si>
    <r>
      <rPr>
        <sz val="11"/>
        <rFont val="Calibri"/>
        <family val="2"/>
      </rPr>
      <t>Aug 625 (H/10v) MK</t>
    </r>
  </si>
  <si>
    <r>
      <rPr>
        <sz val="11"/>
        <rFont val="Calibri"/>
        <family val="2"/>
      </rPr>
      <t>Alpha -Choay ( Ngoại )</t>
    </r>
  </si>
  <si>
    <r>
      <rPr>
        <sz val="11"/>
        <rFont val="Calibri"/>
        <family val="2"/>
      </rPr>
      <t>Aulakan</t>
    </r>
  </si>
  <si>
    <r>
      <rPr>
        <sz val="11"/>
        <rFont val="Calibri"/>
        <family val="2"/>
      </rPr>
      <t>Alpha rẻ (H/20 vỉ)</t>
    </r>
  </si>
  <si>
    <r>
      <rPr>
        <sz val="11"/>
        <rFont val="Calibri"/>
        <family val="2"/>
      </rPr>
      <t>Aulantyl 1g -TG</t>
    </r>
  </si>
  <si>
    <r>
      <rPr>
        <sz val="11"/>
        <rFont val="Calibri"/>
        <family val="2"/>
      </rPr>
      <t>Alphachymo- Minh Hải ( Vĩ nhôm )</t>
    </r>
  </si>
  <si>
    <r>
      <rPr>
        <sz val="11"/>
        <rFont val="Calibri"/>
        <family val="2"/>
      </rPr>
      <t>Aulantyl 625 Tiền Giang</t>
    </r>
  </si>
  <si>
    <r>
      <rPr>
        <sz val="11"/>
        <rFont val="Calibri"/>
        <family val="2"/>
      </rPr>
      <t>Alphavit</t>
    </r>
  </si>
  <si>
    <r>
      <rPr>
        <sz val="11"/>
        <rFont val="Calibri"/>
        <family val="2"/>
      </rPr>
      <t>Avalo xanh</t>
    </r>
  </si>
  <si>
    <r>
      <rPr>
        <sz val="11"/>
        <rFont val="Calibri"/>
        <family val="2"/>
      </rPr>
      <t>Alumina 2/9 (C/60v) -TPCN</t>
    </r>
  </si>
  <si>
    <r>
      <rPr>
        <sz val="11"/>
        <rFont val="Calibri"/>
        <family val="2"/>
      </rPr>
      <t>Avi O5</t>
    </r>
  </si>
  <si>
    <r>
      <rPr>
        <sz val="11"/>
        <rFont val="Calibri"/>
        <family val="2"/>
      </rPr>
      <t>Alverin</t>
    </r>
  </si>
  <si>
    <r>
      <rPr>
        <sz val="11"/>
        <rFont val="Calibri"/>
        <family val="2"/>
      </rPr>
      <t>Azi 100g -HG</t>
    </r>
  </si>
  <si>
    <r>
      <rPr>
        <sz val="11"/>
        <rFont val="Calibri"/>
        <family val="2"/>
      </rPr>
      <t>Ambro.xol 30 Q4 (H/100v)</t>
    </r>
  </si>
  <si>
    <r>
      <rPr>
        <sz val="11"/>
        <rFont val="Calibri"/>
        <family val="2"/>
      </rPr>
      <t>Azi 200g -HG</t>
    </r>
  </si>
  <si>
    <r>
      <rPr>
        <sz val="11"/>
        <rFont val="Calibri"/>
        <family val="2"/>
      </rPr>
      <t>Ambroxol DMC</t>
    </r>
  </si>
  <si>
    <r>
      <rPr>
        <sz val="11"/>
        <rFont val="Calibri"/>
        <family val="2"/>
      </rPr>
      <t>Azi 250 gói -STD</t>
    </r>
  </si>
  <si>
    <r>
      <rPr>
        <sz val="11"/>
        <rFont val="Calibri"/>
        <family val="2"/>
      </rPr>
      <t>Amlo 5 - DMC (H/30v)</t>
    </r>
  </si>
  <si>
    <r>
      <rPr>
        <sz val="11"/>
        <rFont val="Calibri"/>
        <family val="2"/>
      </rPr>
      <t>Azi 500 HG</t>
    </r>
  </si>
  <si>
    <r>
      <rPr>
        <sz val="11"/>
        <rFont val="Calibri"/>
        <family val="2"/>
      </rPr>
      <t>Amlodipin (H/30v) BD</t>
    </r>
  </si>
  <si>
    <r>
      <rPr>
        <sz val="11"/>
        <rFont val="Calibri"/>
        <family val="2"/>
      </rPr>
      <t>Azi 500 -phú yên</t>
    </r>
  </si>
  <si>
    <r>
      <rPr>
        <sz val="11"/>
        <rFont val="Calibri"/>
        <family val="2"/>
      </rPr>
      <t>Amlor ( Kavasdin 5mg ) KH</t>
    </r>
  </si>
  <si>
    <r>
      <rPr>
        <sz val="11"/>
        <rFont val="Calibri"/>
        <family val="2"/>
      </rPr>
      <t>Azytex (Chai) (C/100v)</t>
    </r>
  </si>
  <si>
    <r>
      <rPr>
        <sz val="11"/>
        <rFont val="Calibri"/>
        <family val="2"/>
      </rPr>
      <t>Amlor 5mg VDP</t>
    </r>
  </si>
  <si>
    <r>
      <rPr>
        <sz val="11"/>
        <rFont val="Calibri"/>
        <family val="2"/>
      </rPr>
      <t>Azytex (Hộp) (H/100v)</t>
    </r>
  </si>
  <si>
    <r>
      <rPr>
        <sz val="11"/>
        <rFont val="Calibri"/>
        <family val="2"/>
      </rPr>
      <t>Amlor Stada</t>
    </r>
  </si>
  <si>
    <r>
      <rPr>
        <sz val="11"/>
        <rFont val="Calibri"/>
        <family val="2"/>
      </rPr>
      <t>B1 250mg DAKTIN</t>
    </r>
  </si>
  <si>
    <r>
      <rPr>
        <sz val="11"/>
        <rFont val="Calibri"/>
        <family val="2"/>
      </rPr>
      <t>Amox 250 (H/30 gói) MK</t>
    </r>
  </si>
  <si>
    <r>
      <rPr>
        <sz val="11"/>
        <rFont val="Calibri"/>
        <family val="2"/>
      </rPr>
      <t>B1-250 (C/100v c.a.p) - MK</t>
    </r>
  </si>
  <si>
    <r>
      <rPr>
        <sz val="11"/>
        <rFont val="Calibri"/>
        <family val="2"/>
      </rPr>
      <t>Amox 250 viên - MKF</t>
    </r>
  </si>
  <si>
    <r>
      <rPr>
        <sz val="11"/>
        <rFont val="Calibri"/>
        <family val="2"/>
      </rPr>
      <t>B1-250 (H/100v) MK</t>
    </r>
  </si>
  <si>
    <r>
      <rPr>
        <sz val="11"/>
        <rFont val="Calibri"/>
        <family val="2"/>
      </rPr>
      <t>Amox 250mg DMC ( Ngọt)</t>
    </r>
  </si>
  <si>
    <r>
      <rPr>
        <sz val="11"/>
        <rFont val="Calibri"/>
        <family val="2"/>
      </rPr>
      <t>B1-50 (C/100v) MKF</t>
    </r>
  </si>
  <si>
    <r>
      <rPr>
        <sz val="11"/>
        <rFont val="Calibri"/>
        <family val="2"/>
      </rPr>
      <t>Amox 500 - DMK -XA</t>
    </r>
  </si>
  <si>
    <r>
      <rPr>
        <sz val="11"/>
        <rFont val="Calibri"/>
        <family val="2"/>
      </rPr>
      <t>B1-50 Rẻ ( Lox 10c )</t>
    </r>
  </si>
  <si>
    <r>
      <rPr>
        <sz val="11"/>
        <rFont val="Calibri"/>
        <family val="2"/>
      </rPr>
      <t>Amox 500 chai - MH</t>
    </r>
  </si>
  <si>
    <r>
      <rPr>
        <sz val="11"/>
        <rFont val="Calibri"/>
        <family val="2"/>
      </rPr>
      <t>B2 Lọ nhí</t>
    </r>
  </si>
  <si>
    <r>
      <rPr>
        <sz val="11"/>
        <rFont val="Calibri"/>
        <family val="2"/>
      </rPr>
      <t>Lọ</t>
    </r>
  </si>
  <si>
    <r>
      <rPr>
        <sz val="11"/>
        <rFont val="Calibri"/>
        <family val="2"/>
      </rPr>
      <t>Amox 500 Mekophar</t>
    </r>
  </si>
  <si>
    <r>
      <rPr>
        <sz val="11"/>
        <rFont val="Calibri"/>
        <family val="2"/>
      </rPr>
      <t>B6 250mg PP</t>
    </r>
  </si>
  <si>
    <r>
      <rPr>
        <sz val="11"/>
        <rFont val="Calibri"/>
        <family val="2"/>
      </rPr>
      <t>Ampi 250mg ( v)</t>
    </r>
  </si>
  <si>
    <r>
      <rPr>
        <sz val="11"/>
        <rFont val="Calibri"/>
        <family val="2"/>
      </rPr>
      <t>B6-250 (vĩ) (H/100v) MK</t>
    </r>
  </si>
  <si>
    <r>
      <rPr>
        <sz val="11"/>
        <rFont val="Calibri"/>
        <family val="2"/>
      </rPr>
      <t>Ampi 500 (H/100v) MK</t>
    </r>
  </si>
  <si>
    <r>
      <rPr>
        <sz val="11"/>
        <rFont val="Calibri"/>
        <family val="2"/>
      </rPr>
      <t>Bà giằng (Lớn) (C/400v)-XA</t>
    </r>
  </si>
  <si>
    <r>
      <rPr>
        <sz val="11"/>
        <rFont val="Calibri"/>
        <family val="2"/>
      </rPr>
      <t>Ampi 500 DMC</t>
    </r>
  </si>
  <si>
    <r>
      <rPr>
        <sz val="11"/>
        <rFont val="Calibri"/>
        <family val="2"/>
      </rPr>
      <t>Bà giằng (Nhỏ) (C/250v)</t>
    </r>
  </si>
  <si>
    <r>
      <rPr>
        <sz val="11"/>
        <color rgb="FFFF0000"/>
        <rFont val="Calibri"/>
        <family val="2"/>
      </rPr>
      <t>An Bảo Nước</t>
    </r>
  </si>
  <si>
    <r>
      <rPr>
        <sz val="11"/>
        <color rgb="FFFF0000"/>
        <rFont val="Calibri"/>
        <family val="2"/>
      </rPr>
      <t>Chai</t>
    </r>
  </si>
  <si>
    <r>
      <rPr>
        <sz val="11"/>
        <color rgb="FFFF0000"/>
        <rFont val="Calibri"/>
        <family val="2"/>
      </rPr>
      <t>Bạch ngân PV-125ML</t>
    </r>
  </si>
  <si>
    <r>
      <rPr>
        <sz val="11"/>
        <rFont val="Calibri"/>
        <family val="2"/>
      </rPr>
      <t>Bách Xà</t>
    </r>
  </si>
  <si>
    <r>
      <rPr>
        <sz val="11"/>
        <rFont val="Calibri"/>
        <family val="2"/>
      </rPr>
      <t>Bisolvon -Vĩ</t>
    </r>
  </si>
  <si>
    <r>
      <rPr>
        <sz val="11"/>
        <rFont val="Calibri"/>
        <family val="2"/>
      </rPr>
      <t>Bài Thạch ĐN</t>
    </r>
  </si>
  <si>
    <r>
      <rPr>
        <sz val="11"/>
        <rFont val="Calibri"/>
        <family val="2"/>
      </rPr>
      <t>Biviflu -CHAI</t>
    </r>
  </si>
  <si>
    <r>
      <rPr>
        <sz val="11"/>
        <rFont val="Calibri"/>
        <family val="2"/>
      </rPr>
      <t>Bảo thanh ngậm (H/20 vỉ) xanh</t>
    </r>
  </si>
  <si>
    <r>
      <rPr>
        <sz val="11"/>
        <rFont val="Calibri"/>
        <family val="2"/>
      </rPr>
      <t>Biviflu -F</t>
    </r>
  </si>
  <si>
    <r>
      <rPr>
        <sz val="11"/>
        <rFont val="Calibri"/>
        <family val="2"/>
      </rPr>
      <t>Bảo thanh ngậm ko đường (H/20 vỉ)</t>
    </r>
  </si>
  <si>
    <r>
      <rPr>
        <sz val="11"/>
        <rFont val="Calibri"/>
        <family val="2"/>
      </rPr>
      <t>BKLK</t>
    </r>
  </si>
  <si>
    <r>
      <rPr>
        <sz val="11"/>
        <rFont val="Calibri"/>
        <family val="2"/>
      </rPr>
      <t>Bảo thanh siro</t>
    </r>
  </si>
  <si>
    <r>
      <rPr>
        <sz val="11"/>
        <rFont val="Calibri"/>
        <family val="2"/>
      </rPr>
      <t>BKLK- cây</t>
    </r>
  </si>
  <si>
    <r>
      <rPr>
        <sz val="11"/>
        <rFont val="Calibri"/>
        <family val="2"/>
      </rPr>
      <t>Cây</t>
    </r>
  </si>
  <si>
    <r>
      <rPr>
        <sz val="11"/>
        <rFont val="Calibri"/>
        <family val="2"/>
      </rPr>
      <t>Bảo Thanh siro TE</t>
    </r>
  </si>
  <si>
    <r>
      <rPr>
        <sz val="11"/>
        <rFont val="Calibri"/>
        <family val="2"/>
      </rPr>
      <t>Bổ gân tê bại</t>
    </r>
  </si>
  <si>
    <r>
      <rPr>
        <sz val="11"/>
        <rFont val="Calibri"/>
        <family val="2"/>
      </rPr>
      <t>Bảo tú lệ ( K nhận đổi trả - Tăng giá)</t>
    </r>
  </si>
  <si>
    <r>
      <rPr>
        <sz val="11"/>
        <rFont val="Calibri"/>
        <family val="2"/>
      </rPr>
      <t>Bổ khí thông huyết BVP (H/30v)</t>
    </r>
  </si>
  <si>
    <r>
      <rPr>
        <sz val="11"/>
        <rFont val="Calibri"/>
        <family val="2"/>
      </rPr>
      <t>Bảo xuân Tím</t>
    </r>
  </si>
  <si>
    <r>
      <rPr>
        <sz val="11"/>
        <rFont val="Calibri"/>
        <family val="2"/>
      </rPr>
      <t>Bổ phế - siro</t>
    </r>
  </si>
  <si>
    <r>
      <rPr>
        <sz val="11"/>
        <rFont val="Calibri"/>
        <family val="2"/>
      </rPr>
      <t>Bảo Xuân Vàng</t>
    </r>
  </si>
  <si>
    <r>
      <rPr>
        <sz val="11"/>
        <rFont val="Calibri"/>
        <family val="2"/>
      </rPr>
      <t>Bổ phế - siro K0 đường NH</t>
    </r>
  </si>
  <si>
    <r>
      <rPr>
        <sz val="11"/>
        <rFont val="Calibri"/>
        <family val="2"/>
      </rPr>
      <t>Bar - lớn (C/180v) (không nhận đổi tr</t>
    </r>
  </si>
  <si>
    <r>
      <rPr>
        <sz val="11"/>
        <rFont val="Calibri"/>
        <family val="2"/>
      </rPr>
      <t>Bổ phế - viên (H/24v)</t>
    </r>
  </si>
  <si>
    <r>
      <rPr>
        <sz val="11"/>
        <rFont val="Calibri"/>
        <family val="2"/>
      </rPr>
      <t>Bar - nhỏ (C/60v)</t>
    </r>
  </si>
  <si>
    <r>
      <rPr>
        <sz val="11"/>
        <rFont val="Calibri"/>
        <family val="2"/>
      </rPr>
      <t>Bổ phế Chỉ khái Lộ -TT</t>
    </r>
  </si>
  <si>
    <r>
      <rPr>
        <sz val="11"/>
        <rFont val="Calibri"/>
        <family val="2"/>
      </rPr>
      <t>Bảy màu Bình Thuận</t>
    </r>
  </si>
  <si>
    <r>
      <rPr>
        <sz val="11"/>
        <rFont val="Calibri"/>
        <family val="2"/>
      </rPr>
      <t>Bổ Thận Âm (C/240v) OPC</t>
    </r>
  </si>
  <si>
    <r>
      <rPr>
        <sz val="11"/>
        <rFont val="Calibri"/>
        <family val="2"/>
      </rPr>
      <t>Bảy màu Sóc Trăng</t>
    </r>
  </si>
  <si>
    <r>
      <rPr>
        <sz val="11"/>
        <rFont val="Calibri"/>
        <family val="2"/>
      </rPr>
      <t>Bổ Thận Dương (C/240v) OPC</t>
    </r>
  </si>
  <si>
    <r>
      <rPr>
        <sz val="11"/>
        <rFont val="Calibri"/>
        <family val="2"/>
      </rPr>
      <t>BC lọ (C/100v) VDP</t>
    </r>
  </si>
  <si>
    <r>
      <rPr>
        <sz val="11"/>
        <rFont val="Calibri"/>
        <family val="2"/>
      </rPr>
      <t>Bổ thận plus  PV (H/30v)-MỚI</t>
    </r>
  </si>
  <si>
    <r>
      <rPr>
        <sz val="11"/>
        <rFont val="Calibri"/>
        <family val="2"/>
      </rPr>
      <t>BC vĩ (H/100v) VDP</t>
    </r>
  </si>
  <si>
    <r>
      <rPr>
        <sz val="11"/>
        <rFont val="Calibri"/>
        <family val="2"/>
      </rPr>
      <t>Bổ thận TW3</t>
    </r>
  </si>
  <si>
    <r>
      <rPr>
        <sz val="11"/>
        <rFont val="Calibri"/>
        <family val="2"/>
      </rPr>
      <t>BCN Rè -Nago</t>
    </r>
  </si>
  <si>
    <r>
      <rPr>
        <sz val="11"/>
        <rFont val="Calibri"/>
        <family val="2"/>
      </rPr>
      <t>Bổ Tỳ PH</t>
    </r>
  </si>
  <si>
    <r>
      <rPr>
        <sz val="11"/>
        <rFont val="Calibri"/>
        <family val="2"/>
      </rPr>
      <t>BCN Urgo</t>
    </r>
  </si>
  <si>
    <r>
      <rPr>
        <sz val="11"/>
        <rFont val="Calibri"/>
        <family val="2"/>
      </rPr>
      <t>BOCINOR-Ngừa Ba Đình</t>
    </r>
  </si>
  <si>
    <r>
      <rPr>
        <sz val="11"/>
        <rFont val="Calibri"/>
        <family val="2"/>
      </rPr>
      <t>BCN Zilgo</t>
    </r>
  </si>
  <si>
    <r>
      <rPr>
        <sz val="11"/>
        <rFont val="Calibri"/>
        <family val="2"/>
      </rPr>
      <t>Boganic - lớn</t>
    </r>
  </si>
  <si>
    <r>
      <rPr>
        <sz val="11"/>
        <rFont val="Calibri"/>
        <family val="2"/>
      </rPr>
      <t>Bé ho (H/24 gói) MK-CT4</t>
    </r>
  </si>
  <si>
    <r>
      <rPr>
        <sz val="11"/>
        <rFont val="Calibri"/>
        <family val="2"/>
      </rPr>
      <t>Boganic - nang (H/50v)</t>
    </r>
  </si>
  <si>
    <r>
      <rPr>
        <sz val="11"/>
        <rFont val="Calibri"/>
        <family val="2"/>
      </rPr>
      <t>BEE voi (H/20 ống)</t>
    </r>
  </si>
  <si>
    <r>
      <rPr>
        <sz val="11"/>
        <rFont val="Calibri"/>
        <family val="2"/>
      </rPr>
      <t>Boganic - nhỏ</t>
    </r>
  </si>
  <si>
    <r>
      <rPr>
        <sz val="11"/>
        <rFont val="Calibri"/>
        <family val="2"/>
      </rPr>
      <t>Bejut (ngậm)</t>
    </r>
  </si>
  <si>
    <r>
      <rPr>
        <sz val="11"/>
        <rFont val="Calibri"/>
        <family val="2"/>
      </rPr>
      <t>Bonina Plus PV</t>
    </r>
  </si>
  <si>
    <r>
      <rPr>
        <sz val="11"/>
        <rFont val="Calibri"/>
        <family val="2"/>
      </rPr>
      <t>Bejut gói (H/20 gói) LỚN</t>
    </r>
  </si>
  <si>
    <r>
      <rPr>
        <sz val="11"/>
        <rFont val="Calibri"/>
        <family val="2"/>
      </rPr>
      <t>Boric</t>
    </r>
  </si>
  <si>
    <r>
      <rPr>
        <sz val="11"/>
        <rFont val="Calibri"/>
        <family val="2"/>
      </rPr>
      <t>BENITA -xịt</t>
    </r>
  </si>
  <si>
    <r>
      <rPr>
        <sz val="11"/>
        <rFont val="Calibri"/>
        <family val="2"/>
      </rPr>
      <t>Bostacet</t>
    </r>
  </si>
  <si>
    <r>
      <rPr>
        <sz val="11"/>
        <rFont val="Calibri"/>
        <family val="2"/>
      </rPr>
      <t>Bepanthen (H/20v)</t>
    </r>
  </si>
  <si>
    <r>
      <rPr>
        <sz val="11"/>
        <rFont val="Calibri"/>
        <family val="2"/>
      </rPr>
      <t>Bột Nước Mát HERBACOOL đỏ (H/10</t>
    </r>
  </si>
  <si>
    <r>
      <rPr>
        <sz val="11"/>
        <rFont val="Calibri"/>
        <family val="2"/>
      </rPr>
      <t>Bepanthen -Ngoại</t>
    </r>
  </si>
  <si>
    <r>
      <rPr>
        <sz val="11"/>
        <rFont val="Calibri"/>
        <family val="2"/>
      </rPr>
      <t>Bột thanh nhiệt ADC</t>
    </r>
  </si>
  <si>
    <r>
      <rPr>
        <sz val="11"/>
        <rFont val="Calibri"/>
        <family val="2"/>
      </rPr>
      <t>Ber 100 (c/100vna) - MK -CT 4</t>
    </r>
  </si>
  <si>
    <r>
      <rPr>
        <sz val="11"/>
        <rFont val="Calibri"/>
        <family val="2"/>
      </rPr>
      <t>Bột Trapha</t>
    </r>
  </si>
  <si>
    <r>
      <rPr>
        <sz val="11"/>
        <rFont val="Calibri"/>
        <family val="2"/>
      </rPr>
      <t>Beracal  Sủi</t>
    </r>
  </si>
  <si>
    <r>
      <rPr>
        <sz val="11"/>
        <rFont val="Calibri"/>
        <family val="2"/>
      </rPr>
      <t>Brom 4 CHAI (C/500v) NIC</t>
    </r>
  </si>
  <si>
    <r>
      <rPr>
        <sz val="11"/>
        <rFont val="Calibri"/>
        <family val="2"/>
      </rPr>
      <t>Berberal 2/9 (C/120v)</t>
    </r>
  </si>
  <si>
    <r>
      <rPr>
        <sz val="11"/>
        <rFont val="Calibri"/>
        <family val="2"/>
      </rPr>
      <t>Brom 4mg (H/200v) - 3/2</t>
    </r>
  </si>
  <si>
    <r>
      <rPr>
        <sz val="11"/>
        <rFont val="Calibri"/>
        <family val="2"/>
      </rPr>
      <t>Berberin CL</t>
    </r>
  </si>
  <si>
    <r>
      <rPr>
        <sz val="11"/>
        <rFont val="Calibri"/>
        <family val="2"/>
      </rPr>
      <t>Brom 8 - Q4</t>
    </r>
  </si>
  <si>
    <r>
      <rPr>
        <sz val="11"/>
        <rFont val="Calibri"/>
        <family val="2"/>
      </rPr>
      <t>Berberin -HÀ NỘI</t>
    </r>
  </si>
  <si>
    <r>
      <rPr>
        <sz val="11"/>
        <rFont val="Calibri"/>
        <family val="2"/>
      </rPr>
      <t>Brom 8 (H/200v) MK</t>
    </r>
  </si>
  <si>
    <r>
      <rPr>
        <sz val="11"/>
        <rFont val="Calibri"/>
        <family val="2"/>
      </rPr>
      <t>BEROCA -Ngoại</t>
    </r>
  </si>
  <si>
    <r>
      <rPr>
        <sz val="11"/>
        <rFont val="Calibri"/>
        <family val="2"/>
      </rPr>
      <t>Brom 8 DMC vĩ (H/30v)</t>
    </r>
  </si>
  <si>
    <r>
      <rPr>
        <sz val="11"/>
        <rFont val="Calibri"/>
        <family val="2"/>
      </rPr>
      <t>Betacylic</t>
    </r>
  </si>
  <si>
    <r>
      <rPr>
        <sz val="11"/>
        <rFont val="Calibri"/>
        <family val="2"/>
      </rPr>
      <t>Brom 8mg (H/200v) - 3/2</t>
    </r>
  </si>
  <si>
    <r>
      <rPr>
        <sz val="11"/>
        <rFont val="Calibri"/>
        <family val="2"/>
      </rPr>
      <t>Betamethasone - ( ĐN )</t>
    </r>
  </si>
  <si>
    <r>
      <rPr>
        <sz val="11"/>
        <rFont val="Calibri"/>
        <family val="2"/>
      </rPr>
      <t>Broncocef (H/12 gói)</t>
    </r>
  </si>
  <si>
    <r>
      <rPr>
        <sz val="11"/>
        <rFont val="Calibri"/>
        <family val="2"/>
      </rPr>
      <t>Betasifon (H/18 ống)</t>
    </r>
  </si>
  <si>
    <r>
      <rPr>
        <sz val="11"/>
        <rFont val="Calibri"/>
        <family val="2"/>
      </rPr>
      <t>BSI</t>
    </r>
  </si>
  <si>
    <r>
      <rPr>
        <sz val="11"/>
        <rFont val="Calibri"/>
        <family val="2"/>
      </rPr>
      <t>Bezut SR</t>
    </r>
  </si>
  <si>
    <r>
      <rPr>
        <sz val="11"/>
        <rFont val="Calibri"/>
        <family val="2"/>
      </rPr>
      <t>C 1G -MKF</t>
    </r>
  </si>
  <si>
    <r>
      <rPr>
        <sz val="11"/>
        <rFont val="Calibri"/>
        <family val="2"/>
      </rPr>
      <t>Bibonlax lớn</t>
    </r>
  </si>
  <si>
    <r>
      <rPr>
        <sz val="11"/>
        <rFont val="Calibri"/>
        <family val="2"/>
      </rPr>
      <t>C.loxaxin 250 - MK</t>
    </r>
  </si>
  <si>
    <r>
      <rPr>
        <sz val="11"/>
        <rFont val="Calibri"/>
        <family val="2"/>
      </rPr>
      <t>Bibonlax nhỏ</t>
    </r>
  </si>
  <si>
    <r>
      <rPr>
        <sz val="11"/>
        <rFont val="Calibri"/>
        <family val="2"/>
      </rPr>
      <t>C100</t>
    </r>
  </si>
  <si>
    <r>
      <rPr>
        <sz val="11"/>
        <rFont val="Calibri"/>
        <family val="2"/>
      </rPr>
      <t>Bicimax Std</t>
    </r>
  </si>
  <si>
    <r>
      <rPr>
        <sz val="11"/>
        <rFont val="Calibri"/>
        <family val="2"/>
      </rPr>
      <t>C1G -Opc</t>
    </r>
  </si>
  <si>
    <r>
      <rPr>
        <sz val="11"/>
        <rFont val="Calibri"/>
        <family val="2"/>
      </rPr>
      <t>Big BB (H/16 gói)-10/2022</t>
    </r>
  </si>
  <si>
    <r>
      <rPr>
        <sz val="11"/>
        <rFont val="Calibri"/>
        <family val="2"/>
      </rPr>
      <t>C250 (c/c.a.p) -QB</t>
    </r>
  </si>
  <si>
    <r>
      <rPr>
        <sz val="11"/>
        <rFont val="Calibri"/>
        <family val="2"/>
      </rPr>
      <t>Big BB Plus (H/16 gói)</t>
    </r>
  </si>
  <si>
    <r>
      <rPr>
        <sz val="11"/>
        <rFont val="Calibri"/>
        <family val="2"/>
      </rPr>
      <t>C250 (c/nen) - Q4</t>
    </r>
  </si>
  <si>
    <r>
      <rPr>
        <sz val="11"/>
        <rFont val="Calibri"/>
        <family val="2"/>
      </rPr>
      <t>Bình vị Thái Minh</t>
    </r>
  </si>
  <si>
    <r>
      <rPr>
        <sz val="11"/>
        <rFont val="Calibri"/>
        <family val="2"/>
      </rPr>
      <t>C500 (vĩ/c.a.p) - KH</t>
    </r>
  </si>
  <si>
    <r>
      <rPr>
        <sz val="11"/>
        <rFont val="Calibri"/>
        <family val="2"/>
      </rPr>
      <t>Bio (H/25 gói) - ĐL</t>
    </r>
  </si>
  <si>
    <r>
      <rPr>
        <sz val="11"/>
        <rFont val="Calibri"/>
        <family val="2"/>
      </rPr>
      <t>C500 (vĩ/nén) - QB</t>
    </r>
  </si>
  <si>
    <r>
      <rPr>
        <sz val="11"/>
        <rFont val="Calibri"/>
        <family val="2"/>
      </rPr>
      <t>Bioacemin - Fiber</t>
    </r>
  </si>
  <si>
    <r>
      <rPr>
        <sz val="11"/>
        <rFont val="Calibri"/>
        <family val="2"/>
      </rPr>
      <t>C500 (vĩ/nen) MK (H/200v)</t>
    </r>
  </si>
  <si>
    <r>
      <rPr>
        <sz val="11"/>
        <rFont val="Calibri"/>
        <family val="2"/>
      </rPr>
      <t>Bioacemin-GOLD (H/30 gói) ( Mới)</t>
    </r>
  </si>
  <si>
    <r>
      <rPr>
        <sz val="11"/>
        <rFont val="Calibri"/>
        <family val="2"/>
      </rPr>
      <t>C500 chai -QB</t>
    </r>
  </si>
  <si>
    <r>
      <rPr>
        <sz val="11"/>
        <rFont val="Calibri"/>
        <family val="2"/>
      </rPr>
      <t>Biolacfort ( Chai )</t>
    </r>
  </si>
  <si>
    <r>
      <rPr>
        <sz val="11"/>
        <rFont val="Calibri"/>
        <family val="2"/>
      </rPr>
      <t>Cà gai leo -Tue linh</t>
    </r>
  </si>
  <si>
    <r>
      <rPr>
        <sz val="11"/>
        <rFont val="Calibri"/>
        <family val="2"/>
      </rPr>
      <t>Biolacfort ( Vĩ )</t>
    </r>
  </si>
  <si>
    <r>
      <rPr>
        <sz val="11"/>
        <rFont val="Calibri"/>
        <family val="2"/>
      </rPr>
      <t>CaFe Xanh -TNV</t>
    </r>
  </si>
  <si>
    <r>
      <rPr>
        <sz val="11"/>
        <rFont val="Calibri"/>
        <family val="2"/>
      </rPr>
      <t>Biona (kem)</t>
    </r>
  </si>
  <si>
    <r>
      <rPr>
        <sz val="11"/>
        <rFont val="Calibri"/>
        <family val="2"/>
      </rPr>
      <t>Calci C (xủi)</t>
    </r>
  </si>
  <si>
    <r>
      <rPr>
        <sz val="11"/>
        <rFont val="Calibri"/>
        <family val="2"/>
      </rPr>
      <t>Biotin 5mg (H/20v)</t>
    </r>
  </si>
  <si>
    <r>
      <rPr>
        <sz val="11"/>
        <rFont val="Calibri"/>
        <family val="2"/>
      </rPr>
      <t>Calci D (chai) - MK</t>
    </r>
  </si>
  <si>
    <r>
      <rPr>
        <sz val="11"/>
        <rFont val="Calibri"/>
        <family val="2"/>
      </rPr>
      <t>Bip C</t>
    </r>
  </si>
  <si>
    <r>
      <rPr>
        <sz val="11"/>
        <rFont val="Calibri"/>
        <family val="2"/>
      </rPr>
      <t>Calci D (chai) - Q4</t>
    </r>
  </si>
  <si>
    <r>
      <rPr>
        <sz val="11"/>
        <rFont val="Calibri"/>
        <family val="2"/>
      </rPr>
      <t>Bisa codyl (HG) (H/100v)</t>
    </r>
  </si>
  <si>
    <r>
      <rPr>
        <sz val="11"/>
        <rFont val="Calibri"/>
        <family val="2"/>
      </rPr>
      <t>Calci D (vĩ) - MK</t>
    </r>
  </si>
  <si>
    <r>
      <rPr>
        <sz val="11"/>
        <rFont val="Calibri"/>
        <family val="2"/>
      </rPr>
      <t>Bisalaxyl</t>
    </r>
  </si>
  <si>
    <r>
      <rPr>
        <sz val="11"/>
        <rFont val="Calibri"/>
        <family val="2"/>
      </rPr>
      <t>Calci D vĩ - Q4</t>
    </r>
  </si>
  <si>
    <r>
      <rPr>
        <sz val="11"/>
        <color rgb="FFFF0000"/>
        <rFont val="Calibri"/>
        <family val="2"/>
      </rPr>
      <t>Bisolvon SR</t>
    </r>
  </si>
  <si>
    <r>
      <rPr>
        <sz val="11"/>
        <color rgb="FFFF0000"/>
        <rFont val="Calibri"/>
        <family val="2"/>
      </rPr>
      <t>Calci hasan sủi</t>
    </r>
  </si>
  <si>
    <r>
      <rPr>
        <sz val="11"/>
        <color rgb="FFFF0000"/>
        <rFont val="Calibri"/>
        <family val="2"/>
      </rPr>
      <t>Tuýp</t>
    </r>
  </si>
  <si>
    <r>
      <rPr>
        <sz val="11"/>
        <rFont val="Calibri"/>
        <family val="2"/>
      </rPr>
      <t>Calci sủi BOSTON</t>
    </r>
  </si>
  <si>
    <r>
      <rPr>
        <sz val="11"/>
        <rFont val="Calibri"/>
        <family val="2"/>
      </rPr>
      <t>Cevinton Fort (H/30v)</t>
    </r>
  </si>
  <si>
    <r>
      <rPr>
        <sz val="11"/>
        <rFont val="Calibri"/>
        <family val="2"/>
      </rPr>
      <t>Calcigenol</t>
    </r>
  </si>
  <si>
    <r>
      <rPr>
        <sz val="11"/>
        <rFont val="Calibri"/>
        <family val="2"/>
      </rPr>
      <t>Cezinate 250 (TW25) (H/10v)</t>
    </r>
  </si>
  <si>
    <r>
      <rPr>
        <sz val="11"/>
        <rFont val="Calibri"/>
        <family val="2"/>
      </rPr>
      <t>Calcitriol Hà Tây</t>
    </r>
  </si>
  <si>
    <r>
      <rPr>
        <sz val="11"/>
        <rFont val="Calibri"/>
        <family val="2"/>
      </rPr>
      <t>Cezinate 500 (TW25) (H/20v)-LỚN</t>
    </r>
  </si>
  <si>
    <r>
      <rPr>
        <sz val="11"/>
        <rFont val="Calibri"/>
        <family val="2"/>
      </rPr>
      <t>Cảm xuyên hương</t>
    </r>
  </si>
  <si>
    <r>
      <rPr>
        <sz val="11"/>
        <rFont val="Calibri"/>
        <family val="2"/>
      </rPr>
      <t>Chè Thái Bình- LỚN</t>
    </r>
  </si>
  <si>
    <r>
      <rPr>
        <sz val="11"/>
        <rFont val="Calibri"/>
        <family val="2"/>
      </rPr>
      <t>Bịch</t>
    </r>
  </si>
  <si>
    <r>
      <rPr>
        <sz val="11"/>
        <rFont val="Calibri"/>
        <family val="2"/>
      </rPr>
      <t>Cao bạch hổ - lọ</t>
    </r>
  </si>
  <si>
    <r>
      <rPr>
        <sz val="11"/>
        <rFont val="Calibri"/>
        <family val="2"/>
      </rPr>
      <t>Choliver HG</t>
    </r>
  </si>
  <si>
    <r>
      <rPr>
        <sz val="11"/>
        <rFont val="Calibri"/>
        <family val="2"/>
      </rPr>
      <t>Captopril 25 -DMC</t>
    </r>
  </si>
  <si>
    <r>
      <rPr>
        <sz val="11"/>
        <rFont val="Calibri"/>
        <family val="2"/>
      </rPr>
      <t>Chức Năng Gan BN</t>
    </r>
  </si>
  <si>
    <r>
      <rPr>
        <sz val="11"/>
        <rFont val="Calibri"/>
        <family val="2"/>
      </rPr>
      <t>Captoril 25mg QUẬN 4</t>
    </r>
  </si>
  <si>
    <r>
      <rPr>
        <sz val="11"/>
        <rFont val="Calibri"/>
        <family val="2"/>
      </rPr>
      <t>Cicatrex</t>
    </r>
  </si>
  <si>
    <r>
      <rPr>
        <sz val="11"/>
        <rFont val="Calibri"/>
        <family val="2"/>
      </rPr>
      <t>Carbogast (H/30v)</t>
    </r>
  </si>
  <si>
    <r>
      <rPr>
        <sz val="11"/>
        <rFont val="Calibri"/>
        <family val="2"/>
      </rPr>
      <t>Cidetuss</t>
    </r>
  </si>
  <si>
    <r>
      <rPr>
        <sz val="11"/>
        <rFont val="Calibri"/>
        <family val="2"/>
      </rPr>
      <t>Carbomango ( NAM VIỆT )</t>
    </r>
  </si>
  <si>
    <r>
      <rPr>
        <sz val="11"/>
        <rFont val="Calibri"/>
        <family val="2"/>
      </rPr>
      <t>CIM (viên) - DMK4/2021</t>
    </r>
  </si>
  <si>
    <r>
      <rPr>
        <sz val="11"/>
        <rFont val="Calibri"/>
        <family val="2"/>
      </rPr>
      <t>Carbotrim - DL (H/80v)</t>
    </r>
  </si>
  <si>
    <r>
      <rPr>
        <sz val="11"/>
        <rFont val="Calibri"/>
        <family val="2"/>
      </rPr>
      <t>CIM siro &gt; 180ml</t>
    </r>
  </si>
  <si>
    <r>
      <rPr>
        <sz val="11"/>
        <rFont val="Calibri"/>
        <family val="2"/>
      </rPr>
      <t>CARBOVIS</t>
    </r>
  </si>
  <si>
    <r>
      <rPr>
        <sz val="11"/>
        <rFont val="Calibri"/>
        <family val="2"/>
      </rPr>
      <t>CIM Sr Nhỏ</t>
    </r>
  </si>
  <si>
    <r>
      <rPr>
        <sz val="11"/>
        <rFont val="Calibri"/>
        <family val="2"/>
      </rPr>
      <t>Cardico 2.5</t>
    </r>
  </si>
  <si>
    <r>
      <rPr>
        <sz val="11"/>
        <rFont val="Calibri"/>
        <family val="2"/>
      </rPr>
      <t>Cime 300 chai - MKF</t>
    </r>
  </si>
  <si>
    <r>
      <rPr>
        <sz val="11"/>
        <rFont val="Calibri"/>
        <family val="2"/>
      </rPr>
      <t>Cardico 5</t>
    </r>
  </si>
  <si>
    <r>
      <rPr>
        <sz val="11"/>
        <rFont val="Calibri"/>
        <family val="2"/>
      </rPr>
      <t>Cime 300 vĩ -MKF-CT4</t>
    </r>
  </si>
  <si>
    <r>
      <rPr>
        <sz val="11"/>
        <rFont val="Calibri"/>
        <family val="2"/>
      </rPr>
      <t>Cây đa</t>
    </r>
  </si>
  <si>
    <r>
      <rPr>
        <sz val="11"/>
        <rFont val="Calibri"/>
        <family val="2"/>
      </rPr>
      <t>Cinarizin - QB( Vĩ 50v)</t>
    </r>
  </si>
  <si>
    <r>
      <rPr>
        <sz val="11"/>
        <rFont val="Calibri"/>
        <family val="2"/>
      </rPr>
      <t>Cây gậy (H/10c)</t>
    </r>
  </si>
  <si>
    <r>
      <rPr>
        <sz val="11"/>
        <rFont val="Calibri"/>
        <family val="2"/>
      </rPr>
      <t>Cinarizin 25 (H/30v) DMK</t>
    </r>
  </si>
  <si>
    <r>
      <rPr>
        <sz val="11"/>
        <rFont val="Calibri"/>
        <family val="2"/>
      </rPr>
      <t>Cefac 125 (gói) - DMK 9/2022</t>
    </r>
  </si>
  <si>
    <r>
      <rPr>
        <sz val="11"/>
        <rFont val="Calibri"/>
        <family val="2"/>
      </rPr>
      <t>Cipro 500 - ẤN</t>
    </r>
  </si>
  <si>
    <r>
      <rPr>
        <sz val="11"/>
        <rFont val="Calibri"/>
        <family val="2"/>
      </rPr>
      <t>Cefac 125 (H/12 gói) MK</t>
    </r>
  </si>
  <si>
    <r>
      <rPr>
        <sz val="11"/>
        <rFont val="Calibri"/>
        <family val="2"/>
      </rPr>
      <t>Cipro 500 DMC</t>
    </r>
  </si>
  <si>
    <r>
      <rPr>
        <sz val="11"/>
        <rFont val="Calibri"/>
        <family val="2"/>
      </rPr>
      <t>Cefac 250 gói - DMC 2023</t>
    </r>
  </si>
  <si>
    <r>
      <rPr>
        <sz val="11"/>
        <rFont val="Calibri"/>
        <family val="2"/>
      </rPr>
      <t>Cipro Mắt 3/2</t>
    </r>
  </si>
  <si>
    <r>
      <rPr>
        <sz val="11"/>
        <rFont val="Calibri"/>
        <family val="2"/>
      </rPr>
      <t>Cefac 250 viên - DMK 2023</t>
    </r>
  </si>
  <si>
    <r>
      <rPr>
        <sz val="11"/>
        <rFont val="Calibri"/>
        <family val="2"/>
      </rPr>
      <t>Claminat 250 gói</t>
    </r>
  </si>
  <si>
    <r>
      <rPr>
        <sz val="11"/>
        <rFont val="Calibri"/>
        <family val="2"/>
      </rPr>
      <t>Cefac 375 MEBI</t>
    </r>
  </si>
  <si>
    <r>
      <rPr>
        <sz val="11"/>
        <rFont val="Calibri"/>
        <family val="2"/>
      </rPr>
      <t>Claminat 625</t>
    </r>
  </si>
  <si>
    <r>
      <rPr>
        <sz val="11"/>
        <rFont val="Calibri"/>
        <family val="2"/>
      </rPr>
      <t>Cefadro xil 250(gói) - DMK</t>
    </r>
  </si>
  <si>
    <r>
      <rPr>
        <sz val="11"/>
        <rFont val="Calibri"/>
        <family val="2"/>
      </rPr>
      <t>Claminate 1g</t>
    </r>
  </si>
  <si>
    <r>
      <rPr>
        <sz val="11"/>
        <rFont val="Calibri"/>
        <family val="2"/>
      </rPr>
      <t>Cefadro xil 500 - DMK</t>
    </r>
  </si>
  <si>
    <r>
      <rPr>
        <sz val="11"/>
        <rFont val="Calibri"/>
        <family val="2"/>
      </rPr>
      <t>Claminate 500mg</t>
    </r>
  </si>
  <si>
    <r>
      <rPr>
        <sz val="11"/>
        <rFont val="Calibri"/>
        <family val="2"/>
      </rPr>
      <t>Cefixim 100 (H/10 gói) VDP</t>
    </r>
  </si>
  <si>
    <r>
      <rPr>
        <sz val="11"/>
        <rFont val="Calibri"/>
        <family val="2"/>
      </rPr>
      <t>Clophe (C/1000V) -3/2</t>
    </r>
  </si>
  <si>
    <r>
      <rPr>
        <sz val="11"/>
        <rFont val="Calibri"/>
        <family val="2"/>
      </rPr>
      <t>Cefixim 100 (V) TG</t>
    </r>
  </si>
  <si>
    <r>
      <rPr>
        <sz val="11"/>
        <rFont val="Calibri"/>
        <family val="2"/>
      </rPr>
      <t>Clophe chai - MK</t>
    </r>
  </si>
  <si>
    <r>
      <rPr>
        <sz val="11"/>
        <rFont val="Calibri"/>
        <family val="2"/>
      </rPr>
      <t>Cefixim 200 CL</t>
    </r>
  </si>
  <si>
    <r>
      <rPr>
        <sz val="11"/>
        <rFont val="Calibri"/>
        <family val="2"/>
      </rPr>
      <t>Clophe HG -C200V</t>
    </r>
  </si>
  <si>
    <r>
      <rPr>
        <sz val="11"/>
        <rFont val="Calibri"/>
        <family val="2"/>
      </rPr>
      <t>Cefixim 200mg XN 150</t>
    </r>
  </si>
  <si>
    <r>
      <rPr>
        <sz val="11"/>
        <rFont val="Calibri"/>
        <family val="2"/>
      </rPr>
      <t>Clophe vĩ - MK</t>
    </r>
  </si>
  <si>
    <r>
      <rPr>
        <sz val="11"/>
        <rFont val="Calibri"/>
        <family val="2"/>
      </rPr>
      <t>Cefixim 50 gói (H/10 gói) VDP</t>
    </r>
  </si>
  <si>
    <r>
      <rPr>
        <sz val="11"/>
        <rFont val="Calibri"/>
        <family val="2"/>
      </rPr>
      <t>Clophe vĩ HG</t>
    </r>
  </si>
  <si>
    <r>
      <rPr>
        <sz val="11"/>
        <rFont val="Calibri"/>
        <family val="2"/>
      </rPr>
      <t>Cefpodoxim 100 (G)- US</t>
    </r>
  </si>
  <si>
    <r>
      <rPr>
        <sz val="11"/>
        <rFont val="Calibri"/>
        <family val="2"/>
      </rPr>
      <t>Clopheramin vĩ -3/2</t>
    </r>
  </si>
  <si>
    <r>
      <rPr>
        <sz val="11"/>
        <rFont val="Calibri"/>
        <family val="2"/>
      </rPr>
      <t>Cefu 250 TG ( H20v )</t>
    </r>
  </si>
  <si>
    <r>
      <rPr>
        <sz val="11"/>
        <rFont val="Calibri"/>
        <family val="2"/>
      </rPr>
      <t>Codatux - siro</t>
    </r>
  </si>
  <si>
    <r>
      <rPr>
        <sz val="11"/>
        <rFont val="Calibri"/>
        <family val="2"/>
      </rPr>
      <t>Cefu 500 (H/10v)</t>
    </r>
  </si>
  <si>
    <r>
      <rPr>
        <sz val="11"/>
        <rFont val="Calibri"/>
        <family val="2"/>
      </rPr>
      <t>Codatux (gói) (H/30 gói)</t>
    </r>
  </si>
  <si>
    <r>
      <rPr>
        <sz val="11"/>
        <rFont val="Calibri"/>
        <family val="2"/>
      </rPr>
      <t>Cefu 500 VDP- Hộp Lớn 100V</t>
    </r>
  </si>
  <si>
    <r>
      <rPr>
        <sz val="11"/>
        <rFont val="Calibri"/>
        <family val="2"/>
      </rPr>
      <t>Codatux (kẹo)</t>
    </r>
  </si>
  <si>
    <r>
      <rPr>
        <sz val="11"/>
        <rFont val="Calibri"/>
        <family val="2"/>
      </rPr>
      <t>Celecoxib 200 - DMC</t>
    </r>
  </si>
  <si>
    <r>
      <rPr>
        <sz val="11"/>
        <rFont val="Calibri"/>
        <family val="2"/>
      </rPr>
      <t>CoIdi B</t>
    </r>
  </si>
  <si>
    <r>
      <rPr>
        <sz val="11"/>
        <rFont val="Calibri"/>
        <family val="2"/>
      </rPr>
      <t>Celecoxib 200 - TV (H/30v)</t>
    </r>
  </si>
  <si>
    <r>
      <rPr>
        <sz val="11"/>
        <rFont val="Calibri"/>
        <family val="2"/>
      </rPr>
      <t>COLCHICIN TPC</t>
    </r>
  </si>
  <si>
    <r>
      <rPr>
        <sz val="11"/>
        <rFont val="Calibri"/>
        <family val="2"/>
      </rPr>
      <t>Celecoxid 200 ấn ( Gracox)</t>
    </r>
  </si>
  <si>
    <r>
      <rPr>
        <sz val="11"/>
        <rFont val="Calibri"/>
        <family val="2"/>
      </rPr>
      <t>Coldaxmin (C/200v)</t>
    </r>
  </si>
  <si>
    <r>
      <rPr>
        <sz val="11"/>
        <rFont val="Calibri"/>
        <family val="2"/>
      </rPr>
      <t>Celestamin - hộp</t>
    </r>
  </si>
  <si>
    <r>
      <rPr>
        <sz val="11"/>
        <rFont val="Calibri"/>
        <family val="2"/>
      </rPr>
      <t>Coldaxmin -HG</t>
    </r>
  </si>
  <si>
    <r>
      <rPr>
        <sz val="11"/>
        <rFont val="Calibri"/>
        <family val="2"/>
      </rPr>
      <t>Celestamin Q4 ( C500V ) -Tím</t>
    </r>
  </si>
  <si>
    <r>
      <rPr>
        <sz val="11"/>
        <rFont val="Calibri"/>
        <family val="2"/>
      </rPr>
      <t>Coldaxmin vĩ</t>
    </r>
  </si>
  <si>
    <r>
      <rPr>
        <sz val="11"/>
        <rFont val="Calibri"/>
        <family val="2"/>
      </rPr>
      <t>Cenflu -chai</t>
    </r>
  </si>
  <si>
    <r>
      <rPr>
        <sz val="11"/>
        <rFont val="Calibri"/>
        <family val="2"/>
      </rPr>
      <t>Coldfed - lọ (C/80v)</t>
    </r>
  </si>
  <si>
    <r>
      <rPr>
        <sz val="11"/>
        <rFont val="Calibri"/>
        <family val="2"/>
      </rPr>
      <t>Cenflu -Vĩ</t>
    </r>
  </si>
  <si>
    <r>
      <rPr>
        <sz val="11"/>
        <rFont val="Calibri"/>
        <family val="2"/>
      </rPr>
      <t>Coldfed (L/200V) -Lớn</t>
    </r>
  </si>
  <si>
    <r>
      <rPr>
        <sz val="11"/>
        <rFont val="Calibri"/>
        <family val="2"/>
      </rPr>
      <t>Cepha 250 viên (H/100v) VDP</t>
    </r>
  </si>
  <si>
    <r>
      <rPr>
        <sz val="11"/>
        <rFont val="Calibri"/>
        <family val="2"/>
      </rPr>
      <t>Coldfed vĩ (H/100v)</t>
    </r>
  </si>
  <si>
    <r>
      <rPr>
        <sz val="11"/>
        <rFont val="Calibri"/>
        <family val="2"/>
      </rPr>
      <t>CEPHA 500mg MKF</t>
    </r>
  </si>
  <si>
    <r>
      <rPr>
        <sz val="11"/>
        <rFont val="Calibri"/>
        <family val="2"/>
      </rPr>
      <t>COLDFLU Fort</t>
    </r>
  </si>
  <si>
    <r>
      <rPr>
        <sz val="11"/>
        <rFont val="Calibri"/>
        <family val="2"/>
      </rPr>
      <t>Cepha500 -DMC 2/2023</t>
    </r>
  </si>
  <si>
    <r>
      <rPr>
        <sz val="11"/>
        <rFont val="Calibri"/>
        <family val="2"/>
      </rPr>
      <t>Cốm lớn</t>
    </r>
  </si>
  <si>
    <r>
      <rPr>
        <sz val="11"/>
        <rFont val="Calibri"/>
        <family val="2"/>
      </rPr>
      <t>Cephalexin 500mg -200v  Cuu Long</t>
    </r>
  </si>
  <si>
    <r>
      <rPr>
        <sz val="11"/>
        <rFont val="Calibri"/>
        <family val="2"/>
      </rPr>
      <t>Cốm nhỏ</t>
    </r>
  </si>
  <si>
    <r>
      <rPr>
        <sz val="11"/>
        <rFont val="Calibri"/>
        <family val="2"/>
      </rPr>
      <t>Ceraton</t>
    </r>
  </si>
  <si>
    <r>
      <rPr>
        <sz val="11"/>
        <rFont val="Calibri"/>
        <family val="2"/>
      </rPr>
      <t>Cốm nhỏ rẻ</t>
    </r>
  </si>
  <si>
    <r>
      <rPr>
        <sz val="11"/>
        <rFont val="Calibri"/>
        <family val="2"/>
      </rPr>
      <t>CERECAPS</t>
    </r>
  </si>
  <si>
    <r>
      <rPr>
        <sz val="11"/>
        <rFont val="Calibri"/>
        <family val="2"/>
      </rPr>
      <t>Cốm thỏ</t>
    </r>
  </si>
  <si>
    <r>
      <rPr>
        <sz val="11"/>
        <rFont val="Calibri"/>
        <family val="2"/>
      </rPr>
      <t>Cerevit Fort</t>
    </r>
  </si>
  <si>
    <r>
      <rPr>
        <sz val="11"/>
        <rFont val="Calibri"/>
        <family val="2"/>
      </rPr>
      <t>Cồn 70 60ML VP</t>
    </r>
  </si>
  <si>
    <r>
      <rPr>
        <sz val="11"/>
        <rFont val="Calibri"/>
        <family val="2"/>
      </rPr>
      <t>Cetaphil -LỚN</t>
    </r>
  </si>
  <si>
    <r>
      <rPr>
        <sz val="11"/>
        <rFont val="Calibri"/>
        <family val="2"/>
      </rPr>
      <t>CỒN 70 CÓ VÒI  500ML</t>
    </r>
  </si>
  <si>
    <r>
      <rPr>
        <sz val="11"/>
        <rFont val="Calibri"/>
        <family val="2"/>
      </rPr>
      <t>Cetaphil -Nhỏ</t>
    </r>
  </si>
  <si>
    <r>
      <rPr>
        <sz val="11"/>
        <rFont val="Calibri"/>
        <family val="2"/>
      </rPr>
      <t>Cổn 70 CÓ VÒI1000ml</t>
    </r>
  </si>
  <si>
    <r>
      <rPr>
        <sz val="11"/>
        <rFont val="Calibri"/>
        <family val="2"/>
      </rPr>
      <t>Ceti vĩ -Quận 4</t>
    </r>
  </si>
  <si>
    <r>
      <rPr>
        <sz val="11"/>
        <rFont val="Calibri"/>
        <family val="2"/>
      </rPr>
      <t>Cồn 70 VP 500 ML</t>
    </r>
  </si>
  <si>
    <r>
      <rPr>
        <sz val="11"/>
        <rFont val="Calibri"/>
        <family val="2"/>
      </rPr>
      <t>Cetirizin - cáp</t>
    </r>
  </si>
  <si>
    <r>
      <rPr>
        <sz val="11"/>
        <rFont val="Calibri"/>
        <family val="2"/>
      </rPr>
      <t>Cồn 90 VP 1000ml</t>
    </r>
  </si>
  <si>
    <r>
      <rPr>
        <sz val="11"/>
        <rFont val="Calibri"/>
        <family val="2"/>
      </rPr>
      <t>Cetirizin10 chai- Q4</t>
    </r>
  </si>
  <si>
    <r>
      <rPr>
        <sz val="11"/>
        <rFont val="Calibri"/>
        <family val="2"/>
      </rPr>
      <t>Cồn 90 VP 50ml-XANH</t>
    </r>
  </si>
  <si>
    <r>
      <rPr>
        <sz val="11"/>
        <rFont val="Calibri"/>
        <family val="2"/>
      </rPr>
      <t>Cetirizin10 vĩ - DMK</t>
    </r>
  </si>
  <si>
    <r>
      <rPr>
        <sz val="11"/>
        <rFont val="Calibri"/>
        <family val="2"/>
      </rPr>
      <t>Cồn rồng (H/10c)</t>
    </r>
  </si>
  <si>
    <r>
      <rPr>
        <sz val="11"/>
        <color rgb="FFFF0000"/>
        <rFont val="Calibri"/>
        <family val="2"/>
      </rPr>
      <t>Cetirizin10 vĩ- TG</t>
    </r>
  </si>
  <si>
    <r>
      <rPr>
        <sz val="11"/>
        <color rgb="FFFF0000"/>
        <rFont val="Calibri"/>
        <family val="2"/>
      </rPr>
      <t>Hộp</t>
    </r>
  </si>
  <si>
    <r>
      <rPr>
        <sz val="11"/>
        <color rgb="FFFF0000"/>
        <rFont val="Calibri"/>
        <family val="2"/>
      </rPr>
      <t>Cồn xoa bóp OPC</t>
    </r>
  </si>
  <si>
    <r>
      <rPr>
        <sz val="11"/>
        <rFont val="Calibri"/>
        <family val="2"/>
      </rPr>
      <t>Cồn xoa bóp OPC xịt</t>
    </r>
  </si>
  <si>
    <r>
      <rPr>
        <sz val="11"/>
        <rFont val="Calibri"/>
        <family val="2"/>
      </rPr>
      <t>Denicol-Tăng giá</t>
    </r>
  </si>
  <si>
    <r>
      <rPr>
        <sz val="11"/>
        <rFont val="Calibri"/>
        <family val="2"/>
      </rPr>
      <t>Cool Patch dá</t>
    </r>
  </si>
  <si>
    <r>
      <rPr>
        <sz val="11"/>
        <rFont val="Calibri"/>
        <family val="2"/>
      </rPr>
      <t>Denta OPC</t>
    </r>
  </si>
  <si>
    <r>
      <rPr>
        <sz val="11"/>
        <rFont val="Calibri"/>
        <family val="2"/>
      </rPr>
      <t>Coolkid - Hạ sốt</t>
    </r>
  </si>
  <si>
    <r>
      <rPr>
        <sz val="11"/>
        <rFont val="Calibri"/>
        <family val="2"/>
      </rPr>
      <t>Dercuma  Gel -MỚI</t>
    </r>
  </si>
  <si>
    <r>
      <rPr>
        <sz val="11"/>
        <rFont val="Calibri"/>
        <family val="2"/>
      </rPr>
      <t>Coramin MKF-CT4</t>
    </r>
  </si>
  <si>
    <r>
      <rPr>
        <sz val="11"/>
        <rFont val="Calibri"/>
        <family val="2"/>
      </rPr>
      <t>Derma HG</t>
    </r>
  </si>
  <si>
    <r>
      <rPr>
        <sz val="11"/>
        <rFont val="Calibri"/>
        <family val="2"/>
      </rPr>
      <t>CORBIERE Lớn EX</t>
    </r>
  </si>
  <si>
    <r>
      <rPr>
        <sz val="11"/>
        <rFont val="Calibri"/>
        <family val="2"/>
      </rPr>
      <t>DERMAFORT pm</t>
    </r>
  </si>
  <si>
    <r>
      <rPr>
        <sz val="11"/>
        <rFont val="Calibri"/>
        <family val="2"/>
      </rPr>
      <t>CORBIERE Nhỏ EX</t>
    </r>
  </si>
  <si>
    <r>
      <rPr>
        <sz val="11"/>
        <rFont val="Calibri"/>
        <family val="2"/>
      </rPr>
      <t>Dermovate -Pm</t>
    </r>
  </si>
  <si>
    <r>
      <rPr>
        <sz val="11"/>
        <rFont val="Calibri"/>
        <family val="2"/>
      </rPr>
      <t>Cortibion (TS)</t>
    </r>
  </si>
  <si>
    <r>
      <rPr>
        <sz val="11"/>
        <rFont val="Calibri"/>
        <family val="2"/>
      </rPr>
      <t>DESCOTYL -  500</t>
    </r>
  </si>
  <si>
    <r>
      <rPr>
        <sz val="11"/>
        <rFont val="Calibri"/>
        <family val="2"/>
      </rPr>
      <t>Cortonyl - OPC</t>
    </r>
  </si>
  <si>
    <r>
      <rPr>
        <sz val="11"/>
        <rFont val="Calibri"/>
        <family val="2"/>
      </rPr>
      <t>DESCOTYL 250</t>
    </r>
  </si>
  <si>
    <r>
      <rPr>
        <sz val="11"/>
        <rFont val="Calibri"/>
        <family val="2"/>
      </rPr>
      <t>Cốt thoái vương (H/30v)</t>
    </r>
  </si>
  <si>
    <r>
      <rPr>
        <sz val="11"/>
        <rFont val="Calibri"/>
        <family val="2"/>
      </rPr>
      <t>Desloratadin 5mg Q4</t>
    </r>
  </si>
  <si>
    <r>
      <rPr>
        <sz val="11"/>
        <rFont val="Calibri"/>
        <family val="2"/>
      </rPr>
      <t>Cốt thống thuỷ ( An Phát )</t>
    </r>
  </si>
  <si>
    <r>
      <rPr>
        <sz val="11"/>
        <rFont val="Calibri"/>
        <family val="2"/>
      </rPr>
      <t>Detriat (H/20v)-TĂNG GIÁ</t>
    </r>
  </si>
  <si>
    <r>
      <rPr>
        <sz val="11"/>
        <rFont val="Calibri"/>
        <family val="2"/>
      </rPr>
      <t>Cotaxoang</t>
    </r>
  </si>
  <si>
    <r>
      <rPr>
        <sz val="11"/>
        <rFont val="Calibri"/>
        <family val="2"/>
      </rPr>
      <t>Devaligen F  (H/25v)</t>
    </r>
  </si>
  <si>
    <r>
      <rPr>
        <sz val="11"/>
        <rFont val="Calibri"/>
        <family val="2"/>
      </rPr>
      <t>Cotixil (H/16v) MK</t>
    </r>
  </si>
  <si>
    <r>
      <rPr>
        <sz val="11"/>
        <rFont val="Calibri"/>
        <family val="2"/>
      </rPr>
      <t>Devomir (H/30v)</t>
    </r>
  </si>
  <si>
    <r>
      <rPr>
        <sz val="11"/>
        <rFont val="Calibri"/>
        <family val="2"/>
      </rPr>
      <t>COTRIPRO -gel</t>
    </r>
  </si>
  <si>
    <r>
      <rPr>
        <sz val="11"/>
        <rFont val="Calibri"/>
        <family val="2"/>
      </rPr>
      <t>Dexa (Cáp Q4) (C/200v)</t>
    </r>
  </si>
  <si>
    <r>
      <rPr>
        <sz val="11"/>
        <rFont val="Calibri"/>
        <family val="2"/>
      </rPr>
      <t>Cotripro -viên</t>
    </r>
  </si>
  <si>
    <r>
      <rPr>
        <sz val="11"/>
        <rFont val="Calibri"/>
        <family val="2"/>
      </rPr>
      <t>Dexa 0.5 (Tím) (C/500v) -BẾN TRE</t>
    </r>
  </si>
  <si>
    <r>
      <rPr>
        <sz val="11"/>
        <rFont val="Calibri"/>
        <family val="2"/>
      </rPr>
      <t>Crila (H/4C)</t>
    </r>
  </si>
  <si>
    <r>
      <rPr>
        <sz val="11"/>
        <rFont val="Calibri"/>
        <family val="2"/>
      </rPr>
      <t>Dexa cam (C/200) - MK</t>
    </r>
  </si>
  <si>
    <r>
      <rPr>
        <sz val="11"/>
        <rFont val="Calibri"/>
        <family val="2"/>
      </rPr>
      <t>Crita (H/60v) ( PV )</t>
    </r>
  </si>
  <si>
    <r>
      <rPr>
        <sz val="11"/>
        <rFont val="Calibri"/>
        <family val="2"/>
      </rPr>
      <t>Dexa TÍM -Quận 4</t>
    </r>
  </si>
  <si>
    <r>
      <rPr>
        <sz val="11"/>
        <rFont val="Calibri"/>
        <family val="2"/>
      </rPr>
      <t>Cù là Thiên thảo lớn</t>
    </r>
  </si>
  <si>
    <r>
      <rPr>
        <sz val="11"/>
        <rFont val="Calibri"/>
        <family val="2"/>
      </rPr>
      <t>Dexa t  ắng (C/500v) Q4</t>
    </r>
  </si>
  <si>
    <r>
      <rPr>
        <sz val="11"/>
        <rFont val="Calibri"/>
        <family val="2"/>
      </rPr>
      <t>Cumagon-MẪU MỚI</t>
    </r>
  </si>
  <si>
    <r>
      <rPr>
        <sz val="11"/>
        <rFont val="Calibri"/>
        <family val="2"/>
      </rPr>
      <t>Dexa t  ắng PV (C/500v)</t>
    </r>
  </si>
  <si>
    <r>
      <rPr>
        <sz val="11"/>
        <rFont val="Calibri"/>
        <family val="2"/>
      </rPr>
      <t>Cúp vàng - lọ</t>
    </r>
  </si>
  <si>
    <r>
      <rPr>
        <sz val="11"/>
        <rFont val="Calibri"/>
        <family val="2"/>
      </rPr>
      <t>Dexa vàng (C/200) - MK</t>
    </r>
  </si>
  <si>
    <r>
      <rPr>
        <sz val="11"/>
        <rFont val="Calibri"/>
        <family val="2"/>
      </rPr>
      <t>Cúp Vàng (H/12c)-HỘP LỚN</t>
    </r>
  </si>
  <si>
    <r>
      <rPr>
        <sz val="11"/>
        <rFont val="Calibri"/>
        <family val="2"/>
      </rPr>
      <t>Dexa vĩ</t>
    </r>
  </si>
  <si>
    <r>
      <rPr>
        <sz val="11"/>
        <rFont val="Calibri"/>
        <family val="2"/>
      </rPr>
      <t>Curmin -Nano Bình vị -Hộp 20g</t>
    </r>
  </si>
  <si>
    <r>
      <rPr>
        <sz val="11"/>
        <rFont val="Calibri"/>
        <family val="2"/>
      </rPr>
      <t>Dextro 15 IMP (C 500v )</t>
    </r>
  </si>
  <si>
    <r>
      <rPr>
        <sz val="11"/>
        <rFont val="Calibri"/>
        <family val="2"/>
      </rPr>
      <t>D.E.P mỡ MKF -20 lo</t>
    </r>
  </si>
  <si>
    <r>
      <rPr>
        <sz val="11"/>
        <rFont val="Calibri"/>
        <family val="2"/>
      </rPr>
      <t>Dextro 15 -OPV 8/2021</t>
    </r>
  </si>
  <si>
    <r>
      <rPr>
        <sz val="11"/>
        <rFont val="Calibri"/>
        <family val="2"/>
      </rPr>
      <t>Dạ Dày Nhất Nhất</t>
    </r>
  </si>
  <si>
    <r>
      <rPr>
        <sz val="11"/>
        <rFont val="Calibri"/>
        <family val="2"/>
      </rPr>
      <t>Diaberna</t>
    </r>
  </si>
  <si>
    <r>
      <rPr>
        <sz val="11"/>
        <rFont val="Calibri"/>
        <family val="2"/>
      </rPr>
      <t>Dạ hương tím</t>
    </r>
  </si>
  <si>
    <r>
      <rPr>
        <sz val="11"/>
        <rFont val="Calibri"/>
        <family val="2"/>
      </rPr>
      <t>Dian 35 -Ngoại</t>
    </r>
  </si>
  <si>
    <r>
      <rPr>
        <sz val="11"/>
        <rFont val="Calibri"/>
        <family val="2"/>
      </rPr>
      <t>Dạ hương vòi</t>
    </r>
  </si>
  <si>
    <r>
      <rPr>
        <sz val="11"/>
        <rFont val="Calibri"/>
        <family val="2"/>
      </rPr>
      <t>Diantavid - MH</t>
    </r>
  </si>
  <si>
    <r>
      <rPr>
        <sz val="11"/>
        <rFont val="Calibri"/>
        <family val="2"/>
      </rPr>
      <t>Dạ hương xanh</t>
    </r>
  </si>
  <si>
    <r>
      <rPr>
        <sz val="11"/>
        <rFont val="Calibri"/>
        <family val="2"/>
      </rPr>
      <t>Dibetalic</t>
    </r>
  </si>
  <si>
    <r>
      <rPr>
        <sz val="11"/>
        <rFont val="Calibri"/>
        <family val="2"/>
      </rPr>
      <t>Dạ minh châu (H/12v)</t>
    </r>
  </si>
  <si>
    <r>
      <rPr>
        <sz val="11"/>
        <rFont val="Calibri"/>
        <family val="2"/>
      </rPr>
      <t>Diclo 50 (H/30v) - MK</t>
    </r>
  </si>
  <si>
    <r>
      <rPr>
        <sz val="11"/>
        <rFont val="Calibri"/>
        <family val="2"/>
      </rPr>
      <t>Đái dầm ĐT</t>
    </r>
  </si>
  <si>
    <r>
      <rPr>
        <sz val="11"/>
        <rFont val="Calibri"/>
        <family val="2"/>
      </rPr>
      <t>Diclo 50 (hộp) (H/100v) TW25</t>
    </r>
  </si>
  <si>
    <r>
      <rPr>
        <sz val="11"/>
        <rFont val="Calibri"/>
        <family val="2"/>
      </rPr>
      <t>Đại tràng Bà giằng</t>
    </r>
  </si>
  <si>
    <r>
      <rPr>
        <sz val="11"/>
        <rFont val="Calibri"/>
        <family val="2"/>
      </rPr>
      <t>Diclo 50 chai - LONG AN</t>
    </r>
  </si>
  <si>
    <r>
      <rPr>
        <sz val="11"/>
        <rFont val="Calibri"/>
        <family val="2"/>
      </rPr>
      <t>Đại tràng BN</t>
    </r>
  </si>
  <si>
    <r>
      <rPr>
        <sz val="11"/>
        <rFont val="Calibri"/>
        <family val="2"/>
      </rPr>
      <t>Diclo 75 (chai) LONG AN</t>
    </r>
  </si>
  <si>
    <r>
      <rPr>
        <sz val="11"/>
        <rFont val="Calibri"/>
        <family val="2"/>
      </rPr>
      <t>Đại T  àng HD -H100v</t>
    </r>
  </si>
  <si>
    <r>
      <rPr>
        <sz val="11"/>
        <rFont val="Calibri"/>
        <family val="2"/>
      </rPr>
      <t>Diclofen 50 (H/100v) - DL</t>
    </r>
  </si>
  <si>
    <r>
      <rPr>
        <sz val="11"/>
        <rFont val="Calibri"/>
        <family val="2"/>
      </rPr>
      <t>Đại tràng NN</t>
    </r>
  </si>
  <si>
    <r>
      <rPr>
        <sz val="11"/>
        <rFont val="Calibri"/>
        <family val="2"/>
      </rPr>
      <t>Diclor 75 /Lọ-Quận 4</t>
    </r>
  </si>
  <si>
    <r>
      <rPr>
        <sz val="11"/>
        <rFont val="Calibri"/>
        <family val="2"/>
      </rPr>
      <t>Đại tràng PH</t>
    </r>
  </si>
  <si>
    <r>
      <rPr>
        <sz val="11"/>
        <rFont val="Calibri"/>
        <family val="2"/>
      </rPr>
      <t>Diclor 75 ĐN</t>
    </r>
  </si>
  <si>
    <r>
      <rPr>
        <sz val="11"/>
        <rFont val="Calibri"/>
        <family val="2"/>
      </rPr>
      <t>Đại tràng TB</t>
    </r>
  </si>
  <si>
    <r>
      <rPr>
        <sz val="11"/>
        <rFont val="Calibri"/>
        <family val="2"/>
      </rPr>
      <t>Diclor 75 TW 25</t>
    </r>
  </si>
  <si>
    <r>
      <rPr>
        <sz val="11"/>
        <rFont val="Calibri"/>
        <family val="2"/>
      </rPr>
      <t>Daiticol 11/2022</t>
    </r>
  </si>
  <si>
    <r>
      <rPr>
        <sz val="11"/>
        <rFont val="Calibri"/>
        <family val="2"/>
      </rPr>
      <t>DIDICERA -TPC</t>
    </r>
  </si>
  <si>
    <r>
      <rPr>
        <sz val="11"/>
        <rFont val="Calibri"/>
        <family val="2"/>
      </rPr>
      <t>Dán Akido</t>
    </r>
  </si>
  <si>
    <r>
      <rPr>
        <sz val="11"/>
        <rFont val="Calibri"/>
        <family val="2"/>
      </rPr>
      <t>Diệp hạ châu ĐN</t>
    </r>
  </si>
  <si>
    <r>
      <rPr>
        <sz val="11"/>
        <rFont val="Calibri"/>
        <family val="2"/>
      </rPr>
      <t>Dán hạ sốt Fever Kid</t>
    </r>
  </si>
  <si>
    <r>
      <rPr>
        <sz val="11"/>
        <rFont val="Calibri"/>
        <family val="2"/>
      </rPr>
      <t>Dimen TPC</t>
    </r>
  </si>
  <si>
    <r>
      <rPr>
        <sz val="11"/>
        <rFont val="Calibri"/>
        <family val="2"/>
      </rPr>
      <t>DÁN Lico KID</t>
    </r>
  </si>
  <si>
    <r>
      <rPr>
        <sz val="11"/>
        <rFont val="Calibri"/>
        <family val="2"/>
      </rPr>
      <t>Định Áp Vương (H/30v)</t>
    </r>
  </si>
  <si>
    <r>
      <rPr>
        <sz val="11"/>
        <rFont val="Calibri"/>
        <family val="2"/>
      </rPr>
      <t>Dán say xe rẻ</t>
    </r>
  </si>
  <si>
    <r>
      <rPr>
        <sz val="11"/>
        <rFont val="Calibri"/>
        <family val="2"/>
      </rPr>
      <t>Dipolac G</t>
    </r>
  </si>
  <si>
    <r>
      <rPr>
        <sz val="11"/>
        <rFont val="Calibri"/>
        <family val="2"/>
      </rPr>
      <t>Dán say xe vidogo -H2 miếng</t>
    </r>
  </si>
  <si>
    <r>
      <rPr>
        <sz val="11"/>
        <rFont val="Calibri"/>
        <family val="2"/>
      </rPr>
      <t>Direxiode-TG</t>
    </r>
  </si>
  <si>
    <r>
      <rPr>
        <sz val="11"/>
        <rFont val="Calibri"/>
        <family val="2"/>
      </rPr>
      <t>Danzen 10 - APCO</t>
    </r>
  </si>
  <si>
    <r>
      <rPr>
        <sz val="11"/>
        <rFont val="Calibri"/>
        <family val="2"/>
      </rPr>
      <t>DMK. Losartan 25 (H/10v)</t>
    </r>
  </si>
  <si>
    <r>
      <rPr>
        <sz val="11"/>
        <rFont val="Calibri"/>
        <family val="2"/>
      </rPr>
      <t>Dầu gió HỔ LỘC VÀNG</t>
    </r>
  </si>
  <si>
    <r>
      <rPr>
        <sz val="11"/>
        <rFont val="Calibri"/>
        <family val="2"/>
      </rPr>
      <t>Dobenzic gói</t>
    </r>
  </si>
  <si>
    <r>
      <rPr>
        <sz val="11"/>
        <rFont val="Calibri"/>
        <family val="2"/>
      </rPr>
      <t>Dầu khuynh diệp MKF</t>
    </r>
  </si>
  <si>
    <r>
      <rPr>
        <sz val="11"/>
        <rFont val="Calibri"/>
        <family val="2"/>
      </rPr>
      <t>Dochicin 1 (H/20v) DMK</t>
    </r>
  </si>
  <si>
    <r>
      <rPr>
        <sz val="11"/>
        <rFont val="Calibri"/>
        <family val="2"/>
      </rPr>
      <t>Dầu Kim Linh</t>
    </r>
  </si>
  <si>
    <r>
      <rPr>
        <sz val="11"/>
        <rFont val="Calibri"/>
        <family val="2"/>
      </rPr>
      <t>Dogarlic 300 (C/100)</t>
    </r>
  </si>
  <si>
    <r>
      <rPr>
        <sz val="11"/>
        <rFont val="Calibri"/>
        <family val="2"/>
      </rPr>
      <t>Dầu PL (Lớn) 5ml (H/12c)</t>
    </r>
  </si>
  <si>
    <r>
      <rPr>
        <sz val="11"/>
        <rFont val="Calibri"/>
        <family val="2"/>
      </rPr>
      <t>Dogwatin 50</t>
    </r>
  </si>
  <si>
    <r>
      <rPr>
        <sz val="11"/>
        <rFont val="Calibri"/>
        <family val="2"/>
      </rPr>
      <t>Dầu PL (Nhỏ) 1.5ml (H/10c)</t>
    </r>
  </si>
  <si>
    <r>
      <rPr>
        <sz val="11"/>
        <rFont val="Calibri"/>
        <family val="2"/>
      </rPr>
      <t>Domitazol 250 (H/50v) DMK</t>
    </r>
  </si>
  <si>
    <r>
      <rPr>
        <sz val="11"/>
        <rFont val="Calibri"/>
        <family val="2"/>
      </rPr>
      <t>Dầu Thảo Dược- Hổ Lộc Vàng</t>
    </r>
  </si>
  <si>
    <r>
      <rPr>
        <sz val="11"/>
        <rFont val="Calibri"/>
        <family val="2"/>
      </rPr>
      <t>Domperidon - TW25</t>
    </r>
  </si>
  <si>
    <r>
      <rPr>
        <sz val="11"/>
        <rFont val="Calibri"/>
        <family val="2"/>
      </rPr>
      <t>Dầu T  àm Babymum</t>
    </r>
  </si>
  <si>
    <r>
      <rPr>
        <sz val="11"/>
        <rFont val="Calibri"/>
        <family val="2"/>
      </rPr>
      <t>Dopadin 20mg DMC (Dozidin )</t>
    </r>
  </si>
  <si>
    <r>
      <rPr>
        <sz val="11"/>
        <rFont val="Calibri"/>
        <family val="2"/>
      </rPr>
      <t>Dầu tràm Bách Linh-LỚN</t>
    </r>
  </si>
  <si>
    <r>
      <rPr>
        <sz val="11"/>
        <rFont val="Calibri"/>
        <family val="2"/>
      </rPr>
      <t>Dopagan 500 (H/CAP)</t>
    </r>
  </si>
  <si>
    <r>
      <rPr>
        <sz val="11"/>
        <rFont val="Calibri"/>
        <family val="2"/>
      </rPr>
      <t>Davitabon sui HG</t>
    </r>
  </si>
  <si>
    <r>
      <rPr>
        <sz val="11"/>
        <rFont val="Calibri"/>
        <family val="2"/>
      </rPr>
      <t>Doremi -Sr</t>
    </r>
  </si>
  <si>
    <r>
      <rPr>
        <sz val="11"/>
        <rFont val="Calibri"/>
        <family val="2"/>
      </rPr>
      <t>Decogen Fort</t>
    </r>
  </si>
  <si>
    <r>
      <rPr>
        <sz val="11"/>
        <rFont val="Calibri"/>
        <family val="2"/>
      </rPr>
      <t>Doro 1.5 - DMK</t>
    </r>
  </si>
  <si>
    <r>
      <rPr>
        <sz val="11"/>
        <color rgb="FFFF0000"/>
        <rFont val="Calibri"/>
        <family val="2"/>
      </rPr>
      <t>Đen Thái Dương</t>
    </r>
  </si>
  <si>
    <r>
      <rPr>
        <sz val="11"/>
        <color rgb="FFFF0000"/>
        <rFont val="Calibri"/>
        <family val="2"/>
      </rPr>
      <t>Doro 3.0 - DMK</t>
    </r>
  </si>
  <si>
    <r>
      <rPr>
        <sz val="11"/>
        <rFont val="Calibri"/>
        <family val="2"/>
      </rPr>
      <t>Doro-can 40</t>
    </r>
  </si>
  <si>
    <r>
      <rPr>
        <sz val="11"/>
        <rFont val="Calibri"/>
        <family val="2"/>
      </rPr>
      <t>Erybact 365 (H/25 gói)</t>
    </r>
  </si>
  <si>
    <r>
      <rPr>
        <sz val="11"/>
        <rFont val="Calibri"/>
        <family val="2"/>
      </rPr>
      <t>Doro-cron 30</t>
    </r>
  </si>
  <si>
    <r>
      <rPr>
        <sz val="11"/>
        <rFont val="Calibri"/>
        <family val="2"/>
      </rPr>
      <t>Eska nhỏ mắt</t>
    </r>
  </si>
  <si>
    <r>
      <rPr>
        <sz val="11"/>
        <rFont val="Calibri"/>
        <family val="2"/>
      </rPr>
      <t>Dorogyl</t>
    </r>
  </si>
  <si>
    <r>
      <rPr>
        <sz val="11"/>
        <rFont val="Calibri"/>
        <family val="2"/>
      </rPr>
      <t>Esomepazol 20mg US</t>
    </r>
  </si>
  <si>
    <r>
      <rPr>
        <sz val="11"/>
        <rFont val="Calibri"/>
        <family val="2"/>
      </rPr>
      <t>Dorogyl F</t>
    </r>
  </si>
  <si>
    <r>
      <rPr>
        <sz val="11"/>
        <rFont val="Calibri"/>
        <family val="2"/>
      </rPr>
      <t>Esomepazol 40mg US</t>
    </r>
  </si>
  <si>
    <r>
      <rPr>
        <sz val="11"/>
        <rFont val="Calibri"/>
        <family val="2"/>
      </rPr>
      <t>Doropycin  (H/ 20 Gói )</t>
    </r>
  </si>
  <si>
    <r>
      <rPr>
        <sz val="11"/>
        <rFont val="Calibri"/>
        <family val="2"/>
      </rPr>
      <t>Esomeprazol 20 -Stda</t>
    </r>
  </si>
  <si>
    <r>
      <rPr>
        <sz val="11"/>
        <rFont val="Calibri"/>
        <family val="2"/>
      </rPr>
      <t>Dorotyl 250 (VBD)</t>
    </r>
  </si>
  <si>
    <r>
      <rPr>
        <sz val="11"/>
        <rFont val="Calibri"/>
        <family val="2"/>
      </rPr>
      <t>Esomerazol 40mg -stda</t>
    </r>
  </si>
  <si>
    <r>
      <rPr>
        <sz val="11"/>
        <rFont val="Calibri"/>
        <family val="2"/>
      </rPr>
      <t>Dorover 4</t>
    </r>
  </si>
  <si>
    <r>
      <rPr>
        <sz val="11"/>
        <rFont val="Calibri"/>
        <family val="2"/>
      </rPr>
      <t>Eucapho</t>
    </r>
  </si>
  <si>
    <r>
      <rPr>
        <sz val="11"/>
        <rFont val="Calibri"/>
        <family val="2"/>
      </rPr>
      <t>Dorover Plus</t>
    </r>
  </si>
  <si>
    <r>
      <rPr>
        <sz val="11"/>
        <rFont val="Calibri"/>
        <family val="2"/>
      </rPr>
      <t>Eugica  kẹo</t>
    </r>
  </si>
  <si>
    <r>
      <rPr>
        <sz val="11"/>
        <rFont val="Calibri"/>
        <family val="2"/>
      </rPr>
      <t>Dota - C</t>
    </r>
  </si>
  <si>
    <r>
      <rPr>
        <sz val="11"/>
        <rFont val="Calibri"/>
        <family val="2"/>
      </rPr>
      <t>Eugica đỏ</t>
    </r>
  </si>
  <si>
    <r>
      <rPr>
        <sz val="11"/>
        <rFont val="Calibri"/>
        <family val="2"/>
      </rPr>
      <t>Dotium</t>
    </r>
  </si>
  <si>
    <r>
      <rPr>
        <sz val="11"/>
        <rFont val="Calibri"/>
        <family val="2"/>
      </rPr>
      <t>Eugica kẹo (túi/300v)</t>
    </r>
  </si>
  <si>
    <r>
      <rPr>
        <sz val="11"/>
        <rFont val="Calibri"/>
        <family val="2"/>
      </rPr>
      <t>Dotusil F Q4</t>
    </r>
  </si>
  <si>
    <r>
      <rPr>
        <sz val="11"/>
        <rFont val="Calibri"/>
        <family val="2"/>
      </rPr>
      <t>Eugica kẹo hủ -PV</t>
    </r>
  </si>
  <si>
    <r>
      <rPr>
        <sz val="11"/>
        <rFont val="Calibri"/>
        <family val="2"/>
      </rPr>
      <t>Hủ</t>
    </r>
  </si>
  <si>
    <r>
      <rPr>
        <sz val="11"/>
        <rFont val="Calibri"/>
        <family val="2"/>
      </rPr>
      <t>Doxy - DMK</t>
    </r>
  </si>
  <si>
    <r>
      <rPr>
        <sz val="11"/>
        <rFont val="Calibri"/>
        <family val="2"/>
      </rPr>
      <t>Eugica LỚN</t>
    </r>
  </si>
  <si>
    <r>
      <rPr>
        <sz val="11"/>
        <rFont val="Calibri"/>
        <family val="2"/>
      </rPr>
      <t>Doxy 100 MKF</t>
    </r>
  </si>
  <si>
    <r>
      <rPr>
        <sz val="11"/>
        <rFont val="Calibri"/>
        <family val="2"/>
      </rPr>
      <t>Eugica SR Nhỏ</t>
    </r>
  </si>
  <si>
    <r>
      <rPr>
        <sz val="11"/>
        <rFont val="Calibri"/>
        <family val="2"/>
      </rPr>
      <t>Dozoltac -</t>
    </r>
  </si>
  <si>
    <r>
      <rPr>
        <sz val="11"/>
        <rFont val="Calibri"/>
        <family val="2"/>
      </rPr>
      <t>Eugica Trà</t>
    </r>
  </si>
  <si>
    <r>
      <rPr>
        <sz val="11"/>
        <rFont val="Calibri"/>
        <family val="2"/>
      </rPr>
      <t>Drosperin -ngoại</t>
    </r>
  </si>
  <si>
    <r>
      <rPr>
        <sz val="11"/>
        <rFont val="Calibri"/>
        <family val="2"/>
      </rPr>
      <t>Eugica xanh</t>
    </r>
  </si>
  <si>
    <r>
      <rPr>
        <sz val="11"/>
        <rFont val="Calibri"/>
        <family val="2"/>
      </rPr>
      <t>Đường Bắp Rẻ</t>
    </r>
  </si>
  <si>
    <r>
      <rPr>
        <sz val="11"/>
        <rFont val="Calibri"/>
        <family val="2"/>
      </rPr>
      <t>Eugica xịt Họng</t>
    </r>
  </si>
  <si>
    <r>
      <rPr>
        <sz val="11"/>
        <rFont val="Calibri"/>
        <family val="2"/>
      </rPr>
      <t>Dưỡng can linh</t>
    </r>
  </si>
  <si>
    <r>
      <rPr>
        <sz val="11"/>
        <rFont val="Calibri"/>
        <family val="2"/>
      </rPr>
      <t>Eugica Xịt Mũi</t>
    </r>
  </si>
  <si>
    <r>
      <rPr>
        <sz val="11"/>
        <rFont val="Calibri"/>
        <family val="2"/>
      </rPr>
      <t>Dưỡng cốt hoàn</t>
    </r>
  </si>
  <si>
    <r>
      <rPr>
        <sz val="11"/>
        <rFont val="Calibri"/>
        <family val="2"/>
      </rPr>
      <t>Euquimol (H/30 gói)</t>
    </r>
  </si>
  <si>
    <r>
      <rPr>
        <sz val="11"/>
        <rFont val="Calibri"/>
        <family val="2"/>
      </rPr>
      <t>Dưỡng Cốt Khang</t>
    </r>
  </si>
  <si>
    <r>
      <rPr>
        <sz val="11"/>
        <rFont val="Calibri"/>
        <family val="2"/>
      </rPr>
      <t>EUROSCA Xanh PV</t>
    </r>
  </si>
  <si>
    <r>
      <rPr>
        <sz val="11"/>
        <rFont val="Calibri"/>
        <family val="2"/>
      </rPr>
      <t>Dưỡng da tay</t>
    </r>
  </si>
  <si>
    <r>
      <rPr>
        <sz val="11"/>
        <rFont val="Calibri"/>
        <family val="2"/>
      </rPr>
      <t>EVITA USAR</t>
    </r>
  </si>
  <si>
    <r>
      <rPr>
        <sz val="11"/>
        <rFont val="Calibri"/>
        <family val="2"/>
      </rPr>
      <t>Dưỡng tâm an thần</t>
    </r>
  </si>
  <si>
    <r>
      <rPr>
        <sz val="11"/>
        <rFont val="Calibri"/>
        <family val="2"/>
      </rPr>
      <t>Eylight  -XANH</t>
    </r>
  </si>
  <si>
    <r>
      <rPr>
        <sz val="11"/>
        <rFont val="Calibri"/>
        <family val="2"/>
      </rPr>
      <t>Duphalac</t>
    </r>
  </si>
  <si>
    <r>
      <rPr>
        <sz val="11"/>
        <rFont val="Calibri"/>
        <family val="2"/>
      </rPr>
      <t>Eylight -Vàng</t>
    </r>
  </si>
  <si>
    <r>
      <rPr>
        <sz val="11"/>
        <rFont val="Calibri"/>
        <family val="2"/>
      </rPr>
      <t>E400 v.dài (H/30v)</t>
    </r>
  </si>
  <si>
    <r>
      <rPr>
        <sz val="11"/>
        <rFont val="Calibri"/>
        <family val="2"/>
      </rPr>
      <t>Farzincol - chai VIÊN (C/100v)</t>
    </r>
  </si>
  <si>
    <r>
      <rPr>
        <sz val="11"/>
        <rFont val="Calibri"/>
        <family val="2"/>
      </rPr>
      <t>Ecoship ( Yaguchi) -H 20G</t>
    </r>
  </si>
  <si>
    <r>
      <rPr>
        <sz val="11"/>
        <rFont val="Calibri"/>
        <family val="2"/>
      </rPr>
      <t>Farzincol - siro  90ml</t>
    </r>
  </si>
  <si>
    <r>
      <rPr>
        <sz val="11"/>
        <rFont val="Calibri"/>
        <family val="2"/>
      </rPr>
      <t>Ecoship (đúng tên)</t>
    </r>
  </si>
  <si>
    <r>
      <rPr>
        <sz val="11"/>
        <rFont val="Calibri"/>
        <family val="2"/>
      </rPr>
      <t>Farzincol - vĩ (H/100v)- MBF</t>
    </r>
  </si>
  <si>
    <r>
      <rPr>
        <sz val="11"/>
        <rFont val="Calibri"/>
        <family val="2"/>
      </rPr>
      <t>Edolkid (gói)</t>
    </r>
  </si>
  <si>
    <r>
      <rPr>
        <sz val="11"/>
        <rFont val="Calibri"/>
        <family val="2"/>
      </rPr>
      <t>Farzincol -vĩ PMD</t>
    </r>
  </si>
  <si>
    <r>
      <rPr>
        <sz val="11"/>
        <rFont val="Calibri"/>
        <family val="2"/>
      </rPr>
      <t>Efelagin 500 sủi -TIỀN GIANG</t>
    </r>
  </si>
  <si>
    <r>
      <rPr>
        <sz val="11"/>
        <rFont val="Calibri"/>
        <family val="2"/>
      </rPr>
      <t>Felodipin 5mg STD</t>
    </r>
  </si>
  <si>
    <r>
      <rPr>
        <sz val="11"/>
        <rFont val="Calibri"/>
        <family val="2"/>
      </rPr>
      <t>Effe 500 sủi -Ngoại</t>
    </r>
  </si>
  <si>
    <r>
      <rPr>
        <sz val="11"/>
        <rFont val="Calibri"/>
        <family val="2"/>
      </rPr>
      <t>Fenaflam</t>
    </r>
  </si>
  <si>
    <r>
      <rPr>
        <sz val="11"/>
        <rFont val="Calibri"/>
        <family val="2"/>
      </rPr>
      <t>Effervescen   ủi DMC</t>
    </r>
  </si>
  <si>
    <r>
      <rPr>
        <sz val="11"/>
        <rFont val="Calibri"/>
        <family val="2"/>
      </rPr>
      <t>Fenofibrat 200 (H/30v)</t>
    </r>
  </si>
  <si>
    <r>
      <rPr>
        <sz val="11"/>
        <rFont val="Calibri"/>
        <family val="2"/>
      </rPr>
      <t>Efticol</t>
    </r>
  </si>
  <si>
    <r>
      <rPr>
        <sz val="11"/>
        <rFont val="Calibri"/>
        <family val="2"/>
      </rPr>
      <t>Fexo 120 (H/10v)</t>
    </r>
  </si>
  <si>
    <r>
      <rPr>
        <sz val="11"/>
        <rFont val="Calibri"/>
        <family val="2"/>
      </rPr>
      <t>Emcare</t>
    </r>
  </si>
  <si>
    <r>
      <rPr>
        <sz val="11"/>
        <rFont val="Calibri"/>
        <family val="2"/>
      </rPr>
      <t>Fexo 180 US</t>
    </r>
  </si>
  <si>
    <r>
      <rPr>
        <sz val="11"/>
        <rFont val="Calibri"/>
        <family val="2"/>
      </rPr>
      <t>EMCO</t>
    </r>
  </si>
  <si>
    <r>
      <rPr>
        <sz val="11"/>
        <rFont val="Calibri"/>
        <family val="2"/>
      </rPr>
      <t>Fexo 60  CL - 10v</t>
    </r>
  </si>
  <si>
    <r>
      <rPr>
        <sz val="11"/>
        <rFont val="Calibri"/>
        <family val="2"/>
      </rPr>
      <t>Enaplaril  5mg Stda</t>
    </r>
  </si>
  <si>
    <r>
      <rPr>
        <sz val="11"/>
        <rFont val="Calibri"/>
        <family val="2"/>
      </rPr>
      <t>Fexo 60 HV-100v</t>
    </r>
  </si>
  <si>
    <r>
      <rPr>
        <sz val="11"/>
        <rFont val="Calibri"/>
        <family val="2"/>
      </rPr>
      <t>Enaplaril 10mg -stda</t>
    </r>
  </si>
  <si>
    <r>
      <rPr>
        <sz val="11"/>
        <rFont val="Calibri"/>
        <family val="2"/>
      </rPr>
      <t>FLUCINAR</t>
    </r>
  </si>
  <si>
    <r>
      <rPr>
        <sz val="11"/>
        <rFont val="Calibri"/>
        <family val="2"/>
      </rPr>
      <t>Enat 400 ( Mega )</t>
    </r>
  </si>
  <si>
    <r>
      <rPr>
        <sz val="11"/>
        <rFont val="Calibri"/>
        <family val="2"/>
      </rPr>
      <t>Flucort -N</t>
    </r>
  </si>
  <si>
    <r>
      <rPr>
        <sz val="11"/>
        <rFont val="Calibri"/>
        <family val="2"/>
      </rPr>
      <t>ENERVON C</t>
    </r>
  </si>
  <si>
    <r>
      <rPr>
        <sz val="11"/>
        <rFont val="Calibri"/>
        <family val="2"/>
      </rPr>
      <t>Foodgel</t>
    </r>
  </si>
  <si>
    <r>
      <rPr>
        <sz val="11"/>
        <rFont val="Calibri"/>
        <family val="2"/>
      </rPr>
      <t>Enpovid AD</t>
    </r>
  </si>
  <si>
    <r>
      <rPr>
        <sz val="11"/>
        <rFont val="Calibri"/>
        <family val="2"/>
      </rPr>
      <t>Fubenzol HG</t>
    </r>
  </si>
  <si>
    <r>
      <rPr>
        <sz val="11"/>
        <rFont val="Calibri"/>
        <family val="2"/>
      </rPr>
      <t>Entergo ngoại</t>
    </r>
  </si>
  <si>
    <r>
      <rPr>
        <sz val="11"/>
        <rFont val="Calibri"/>
        <family val="2"/>
      </rPr>
      <t>Fullaca ( nic )</t>
    </r>
  </si>
  <si>
    <r>
      <rPr>
        <sz val="11"/>
        <rFont val="Calibri"/>
        <family val="2"/>
      </rPr>
      <t>Entergomena RẺ</t>
    </r>
  </si>
  <si>
    <r>
      <rPr>
        <sz val="11"/>
        <rFont val="Calibri"/>
        <family val="2"/>
      </rPr>
      <t>Furo 40 (H/300v) MK</t>
    </r>
  </si>
  <si>
    <r>
      <rPr>
        <sz val="11"/>
        <rFont val="Calibri"/>
        <family val="2"/>
      </rPr>
      <t>Enteric cap (C/60v)</t>
    </r>
  </si>
  <si>
    <r>
      <rPr>
        <sz val="11"/>
        <rFont val="Calibri"/>
        <family val="2"/>
      </rPr>
      <t>Furo rẻ (H/120v) DL</t>
    </r>
  </si>
  <si>
    <r>
      <rPr>
        <sz val="11"/>
        <rFont val="Calibri"/>
        <family val="2"/>
      </rPr>
      <t>Enteric gói (H/30 gói)-2023</t>
    </r>
  </si>
  <si>
    <r>
      <rPr>
        <sz val="11"/>
        <rFont val="Calibri"/>
        <family val="2"/>
      </rPr>
      <t>Gaba hasan 300mg</t>
    </r>
  </si>
  <si>
    <r>
      <rPr>
        <sz val="11"/>
        <rFont val="Calibri"/>
        <family val="2"/>
      </rPr>
      <t>Enteric nén (C/100v)</t>
    </r>
  </si>
  <si>
    <r>
      <rPr>
        <sz val="11"/>
        <rFont val="Calibri"/>
        <family val="2"/>
      </rPr>
      <t>GẤC DHA-Tăng giá</t>
    </r>
  </si>
  <si>
    <r>
      <rPr>
        <sz val="11"/>
        <rFont val="Calibri"/>
        <family val="2"/>
      </rPr>
      <t>Enterro.cap</t>
    </r>
  </si>
  <si>
    <r>
      <rPr>
        <sz val="11"/>
        <rFont val="Calibri"/>
        <family val="2"/>
      </rPr>
      <t>Gạc lớn</t>
    </r>
  </si>
  <si>
    <r>
      <rPr>
        <sz val="11"/>
        <rFont val="Calibri"/>
        <family val="2"/>
      </rPr>
      <t>Gói</t>
    </r>
  </si>
  <si>
    <r>
      <rPr>
        <sz val="11"/>
        <rFont val="Calibri"/>
        <family val="2"/>
      </rPr>
      <t>Erosca ĐỎ USP</t>
    </r>
  </si>
  <si>
    <r>
      <rPr>
        <sz val="11"/>
        <rFont val="Calibri"/>
        <family val="2"/>
      </rPr>
      <t>Gạc nhỏ</t>
    </r>
  </si>
  <si>
    <r>
      <rPr>
        <sz val="11"/>
        <rFont val="Calibri"/>
        <family val="2"/>
      </rPr>
      <t>Erosca XANH USP</t>
    </r>
  </si>
  <si>
    <r>
      <rPr>
        <sz val="11"/>
        <rFont val="Calibri"/>
        <family val="2"/>
      </rPr>
      <t>Gấc PV</t>
    </r>
  </si>
  <si>
    <r>
      <rPr>
        <sz val="11"/>
        <rFont val="Calibri"/>
        <family val="2"/>
      </rPr>
      <t>Erossan PK -HG</t>
    </r>
  </si>
  <si>
    <r>
      <rPr>
        <sz val="11"/>
        <rFont val="Calibri"/>
        <family val="2"/>
      </rPr>
      <t>Gai Cốt Hoàn</t>
    </r>
  </si>
  <si>
    <r>
      <rPr>
        <sz val="11"/>
        <rFont val="Calibri"/>
        <family val="2"/>
      </rPr>
      <t>Ery - 250 (H/30 gói)</t>
    </r>
  </si>
  <si>
    <r>
      <rPr>
        <sz val="11"/>
        <rFont val="Calibri"/>
        <family val="2"/>
      </rPr>
      <t>Gân cốt hoàn</t>
    </r>
  </si>
  <si>
    <r>
      <rPr>
        <sz val="11"/>
        <rFont val="Calibri"/>
        <family val="2"/>
      </rPr>
      <t>Ery - 250 viên MKF</t>
    </r>
  </si>
  <si>
    <r>
      <rPr>
        <sz val="11"/>
        <rFont val="Calibri"/>
        <family val="2"/>
      </rPr>
      <t>Gan PV (C/60v)</t>
    </r>
  </si>
  <si>
    <r>
      <rPr>
        <sz val="11"/>
        <rFont val="Calibri"/>
        <family val="2"/>
      </rPr>
      <t>Ery 500 - AGI</t>
    </r>
  </si>
  <si>
    <r>
      <rPr>
        <sz val="11"/>
        <rFont val="Calibri"/>
        <family val="2"/>
      </rPr>
      <t>Găng tay</t>
    </r>
  </si>
  <si>
    <r>
      <rPr>
        <sz val="11"/>
        <rFont val="Calibri"/>
        <family val="2"/>
      </rPr>
      <t>ERY tube  - NH</t>
    </r>
  </si>
  <si>
    <r>
      <rPr>
        <sz val="11"/>
        <rFont val="Calibri"/>
        <family val="2"/>
      </rPr>
      <t>Gastrogel -Lọ</t>
    </r>
  </si>
  <si>
    <r>
      <rPr>
        <sz val="11"/>
        <rFont val="Calibri"/>
        <family val="2"/>
      </rPr>
      <t>Erybact  F (H/100v)</t>
    </r>
  </si>
  <si>
    <r>
      <rPr>
        <sz val="11"/>
        <rFont val="Calibri"/>
        <family val="2"/>
      </rPr>
      <t>Gastrogel vĩ</t>
    </r>
  </si>
  <si>
    <r>
      <rPr>
        <sz val="11"/>
        <color rgb="FFFF0000"/>
        <rFont val="Calibri"/>
        <family val="2"/>
      </rPr>
      <t>Erybact 365 (H/100V)</t>
    </r>
  </si>
  <si>
    <r>
      <rPr>
        <sz val="11"/>
        <color rgb="FFFF0000"/>
        <rFont val="Calibri"/>
        <family val="2"/>
      </rPr>
      <t>Gấu misa 30g ( Date xa)</t>
    </r>
  </si>
  <si>
    <r>
      <rPr>
        <sz val="11"/>
        <color rgb="FFFF0000"/>
        <rFont val="Calibri"/>
        <family val="2"/>
      </rPr>
      <t>Tube</t>
    </r>
  </si>
  <si>
    <r>
      <rPr>
        <sz val="11"/>
        <rFont val="Calibri"/>
        <family val="2"/>
      </rPr>
      <t>Gaviscon</t>
    </r>
  </si>
  <si>
    <r>
      <rPr>
        <sz val="11"/>
        <rFont val="Calibri"/>
        <family val="2"/>
      </rPr>
      <t>Hainew -chai</t>
    </r>
  </si>
  <si>
    <r>
      <rPr>
        <sz val="11"/>
        <rFont val="Calibri"/>
        <family val="2"/>
      </rPr>
      <t>Gentrisone - NGOẠI</t>
    </r>
  </si>
  <si>
    <r>
      <rPr>
        <sz val="11"/>
        <rFont val="Calibri"/>
        <family val="2"/>
      </rPr>
      <t>Hainew -gói</t>
    </r>
  </si>
  <si>
    <r>
      <rPr>
        <sz val="11"/>
        <rFont val="Calibri"/>
        <family val="2"/>
      </rPr>
      <t>Giải Độc Gan Tuệ Linh -lọ</t>
    </r>
  </si>
  <si>
    <r>
      <rPr>
        <sz val="11"/>
        <rFont val="Calibri"/>
        <family val="2"/>
      </rPr>
      <t>Hamega (H/40v)</t>
    </r>
  </si>
  <si>
    <r>
      <rPr>
        <sz val="11"/>
        <rFont val="Calibri"/>
        <family val="2"/>
      </rPr>
      <t>Giảm cân PV (C/60v)</t>
    </r>
  </si>
  <si>
    <r>
      <rPr>
        <sz val="11"/>
        <rFont val="Calibri"/>
        <family val="2"/>
      </rPr>
      <t>Hamet (H/24 gói) HG</t>
    </r>
  </si>
  <si>
    <r>
      <rPr>
        <sz val="11"/>
        <rFont val="Calibri"/>
        <family val="2"/>
      </rPr>
      <t>Giảo cổ lam - trà</t>
    </r>
  </si>
  <si>
    <r>
      <rPr>
        <sz val="11"/>
        <rFont val="Calibri"/>
        <family val="2"/>
      </rPr>
      <t>Hapa 150 (gói)</t>
    </r>
  </si>
  <si>
    <r>
      <rPr>
        <sz val="11"/>
        <rFont val="Calibri"/>
        <family val="2"/>
      </rPr>
      <t>Giảo cổ lam--- (H/100V). Trăm Viên</t>
    </r>
  </si>
  <si>
    <r>
      <rPr>
        <sz val="11"/>
        <rFont val="Calibri"/>
        <family val="2"/>
      </rPr>
      <t>Hapa 150 gói -Flu</t>
    </r>
  </si>
  <si>
    <r>
      <rPr>
        <sz val="11"/>
        <rFont val="Calibri"/>
        <family val="2"/>
      </rPr>
      <t>Giảo cổ lam (H/60V) ( Không nhận đổ</t>
    </r>
  </si>
  <si>
    <r>
      <rPr>
        <sz val="11"/>
        <rFont val="Calibri"/>
        <family val="2"/>
      </rPr>
      <t>Hapa 250 (gói)</t>
    </r>
  </si>
  <si>
    <r>
      <rPr>
        <sz val="11"/>
        <rFont val="Calibri"/>
        <family val="2"/>
      </rPr>
      <t>Ginko NATO -Tím</t>
    </r>
  </si>
  <si>
    <r>
      <rPr>
        <sz val="11"/>
        <rFont val="Calibri"/>
        <family val="2"/>
      </rPr>
      <t>Hapa 325 (C/100v)</t>
    </r>
  </si>
  <si>
    <r>
      <rPr>
        <sz val="11"/>
        <rFont val="Calibri"/>
        <family val="2"/>
      </rPr>
      <t>Ginko Natto Q10 -PV</t>
    </r>
  </si>
  <si>
    <r>
      <rPr>
        <sz val="11"/>
        <rFont val="Calibri"/>
        <family val="2"/>
      </rPr>
      <t>Hapa 325 (H/100v)</t>
    </r>
  </si>
  <si>
    <r>
      <rPr>
        <sz val="11"/>
        <rFont val="Calibri"/>
        <family val="2"/>
      </rPr>
      <t>Ginko NATTO -US TÍM</t>
    </r>
  </si>
  <si>
    <r>
      <rPr>
        <sz val="11"/>
        <rFont val="Calibri"/>
        <family val="2"/>
      </rPr>
      <t>Hapa 500 extra (H/100v)</t>
    </r>
  </si>
  <si>
    <r>
      <rPr>
        <sz val="11"/>
        <rFont val="Calibri"/>
        <family val="2"/>
      </rPr>
      <t>Ginko Q10-Màu xanh</t>
    </r>
  </si>
  <si>
    <r>
      <rPr>
        <sz val="11"/>
        <rFont val="Calibri"/>
        <family val="2"/>
      </rPr>
      <t>Hapa 500 sủi</t>
    </r>
  </si>
  <si>
    <r>
      <rPr>
        <sz val="11"/>
        <rFont val="Calibri"/>
        <family val="2"/>
      </rPr>
      <t>Ginko THANH HẰNG</t>
    </r>
  </si>
  <si>
    <r>
      <rPr>
        <sz val="11"/>
        <rFont val="Calibri"/>
        <family val="2"/>
      </rPr>
      <t>Hapa 650 (C/100v)</t>
    </r>
  </si>
  <si>
    <r>
      <rPr>
        <sz val="11"/>
        <rFont val="Calibri"/>
        <family val="2"/>
      </rPr>
      <t>Gió nâu 10 (Bl/10c) DL</t>
    </r>
  </si>
  <si>
    <r>
      <rPr>
        <sz val="11"/>
        <rFont val="Calibri"/>
        <family val="2"/>
      </rPr>
      <t>Hapa 650 (H/50v)</t>
    </r>
  </si>
  <si>
    <r>
      <rPr>
        <sz val="11"/>
        <rFont val="Calibri"/>
        <family val="2"/>
      </rPr>
      <t>Gió thiên thảo 12ml (H/12c)</t>
    </r>
  </si>
  <si>
    <r>
      <rPr>
        <sz val="11"/>
        <rFont val="Calibri"/>
        <family val="2"/>
      </rPr>
      <t>Hapa 650 extra (H/100v)</t>
    </r>
  </si>
  <si>
    <r>
      <rPr>
        <sz val="11"/>
        <rFont val="Calibri"/>
        <family val="2"/>
      </rPr>
      <t>Gió TS 6ml (H/12c)  (lớn)</t>
    </r>
  </si>
  <si>
    <r>
      <rPr>
        <sz val="11"/>
        <rFont val="Calibri"/>
        <family val="2"/>
      </rPr>
      <t>Hapa 80 (gói)</t>
    </r>
  </si>
  <si>
    <r>
      <rPr>
        <sz val="11"/>
        <rFont val="Calibri"/>
        <family val="2"/>
      </rPr>
      <t>Giun HQ</t>
    </r>
  </si>
  <si>
    <r>
      <rPr>
        <sz val="11"/>
        <rFont val="Calibri"/>
        <family val="2"/>
      </rPr>
      <t>Hapa Blue (H/100v)</t>
    </r>
  </si>
  <si>
    <r>
      <rPr>
        <sz val="11"/>
        <rFont val="Calibri"/>
        <family val="2"/>
      </rPr>
      <t>Giun núi</t>
    </r>
  </si>
  <si>
    <r>
      <rPr>
        <sz val="11"/>
        <rFont val="Calibri"/>
        <family val="2"/>
      </rPr>
      <t>Hapa CS day ( H/100v)</t>
    </r>
  </si>
  <si>
    <r>
      <rPr>
        <sz val="11"/>
        <rFont val="Calibri"/>
        <family val="2"/>
      </rPr>
      <t>Gliazid 30-phú yên</t>
    </r>
  </si>
  <si>
    <r>
      <rPr>
        <sz val="11"/>
        <rFont val="Calibri"/>
        <family val="2"/>
      </rPr>
      <t>Hapacol 250 Flu</t>
    </r>
  </si>
  <si>
    <r>
      <rPr>
        <sz val="11"/>
        <rFont val="Calibri"/>
        <family val="2"/>
      </rPr>
      <t>Glibenclamid - 5 -6/2021</t>
    </r>
  </si>
  <si>
    <r>
      <rPr>
        <sz val="11"/>
        <rFont val="Calibri"/>
        <family val="2"/>
      </rPr>
      <t>Hapacol 325 Flu</t>
    </r>
  </si>
  <si>
    <r>
      <rPr>
        <sz val="11"/>
        <rFont val="Calibri"/>
        <family val="2"/>
      </rPr>
      <t>Glisan 30 -HASAN</t>
    </r>
  </si>
  <si>
    <r>
      <rPr>
        <sz val="11"/>
        <rFont val="Calibri"/>
        <family val="2"/>
      </rPr>
      <t>Hapacol Dau nhuc (H/50v)</t>
    </r>
  </si>
  <si>
    <r>
      <rPr>
        <sz val="11"/>
        <rFont val="Calibri"/>
        <family val="2"/>
      </rPr>
      <t>Gluco 500 (USA)</t>
    </r>
  </si>
  <si>
    <r>
      <rPr>
        <sz val="11"/>
        <rFont val="Calibri"/>
        <family val="2"/>
      </rPr>
      <t>Hatitux  ( H 20/g )</t>
    </r>
  </si>
  <si>
    <r>
      <rPr>
        <sz val="11"/>
        <rFont val="Calibri"/>
        <family val="2"/>
      </rPr>
      <t>Glucofast 500</t>
    </r>
  </si>
  <si>
    <r>
      <rPr>
        <sz val="11"/>
        <rFont val="Calibri"/>
        <family val="2"/>
      </rPr>
      <t>Hatitux Kẹo ( Hộp lớn )</t>
    </r>
  </si>
  <si>
    <r>
      <rPr>
        <sz val="11"/>
        <rFont val="Calibri"/>
        <family val="2"/>
      </rPr>
      <t>Glucofast 850</t>
    </r>
  </si>
  <si>
    <r>
      <rPr>
        <sz val="11"/>
        <rFont val="Calibri"/>
        <family val="2"/>
      </rPr>
      <t>Hàu biển Maxmen</t>
    </r>
  </si>
  <si>
    <r>
      <rPr>
        <sz val="11"/>
        <rFont val="Calibri"/>
        <family val="2"/>
      </rPr>
      <t>Glucofine - 500</t>
    </r>
  </si>
  <si>
    <r>
      <rPr>
        <sz val="11"/>
        <rFont val="Calibri"/>
        <family val="2"/>
      </rPr>
      <t>Helizone (H/24v)</t>
    </r>
  </si>
  <si>
    <r>
      <rPr>
        <sz val="11"/>
        <rFont val="Calibri"/>
        <family val="2"/>
      </rPr>
      <t>Glucofine - 850</t>
    </r>
  </si>
  <si>
    <r>
      <rPr>
        <sz val="11"/>
        <rFont val="Calibri"/>
        <family val="2"/>
      </rPr>
      <t>Hen PH</t>
    </r>
  </si>
  <si>
    <r>
      <rPr>
        <sz val="11"/>
        <rFont val="Calibri"/>
        <family val="2"/>
      </rPr>
      <t>Glucofine 1g DMC 2023</t>
    </r>
  </si>
  <si>
    <r>
      <rPr>
        <sz val="11"/>
        <rFont val="Calibri"/>
        <family val="2"/>
      </rPr>
      <t>Herba Cool xanh (H/5 gói)</t>
    </r>
  </si>
  <si>
    <r>
      <rPr>
        <sz val="11"/>
        <rFont val="Calibri"/>
        <family val="2"/>
      </rPr>
      <t>Gội Hàn Quốc</t>
    </r>
  </si>
  <si>
    <r>
      <rPr>
        <sz val="11"/>
        <rFont val="Calibri"/>
        <family val="2"/>
      </rPr>
      <t>HH- CM3 ( Thuốc)</t>
    </r>
  </si>
  <si>
    <r>
      <rPr>
        <sz val="11"/>
        <rFont val="Calibri"/>
        <family val="2"/>
      </rPr>
      <t>Gội là đen - MATTRIX rẻ</t>
    </r>
  </si>
  <si>
    <r>
      <rPr>
        <sz val="11"/>
        <rFont val="Calibri"/>
        <family val="2"/>
      </rPr>
      <t>HH minh não</t>
    </r>
  </si>
  <si>
    <r>
      <rPr>
        <sz val="11"/>
        <rFont val="Calibri"/>
        <family val="2"/>
      </rPr>
      <t>Gội là nâu MAXTRIT</t>
    </r>
  </si>
  <si>
    <r>
      <rPr>
        <sz val="11"/>
        <rFont val="Calibri"/>
        <family val="2"/>
      </rPr>
      <t>HH Thông mạch PH</t>
    </r>
  </si>
  <si>
    <r>
      <rPr>
        <sz val="11"/>
        <rFont val="Calibri"/>
        <family val="2"/>
      </rPr>
      <t>Gội Nguyên Xuân NÂU</t>
    </r>
  </si>
  <si>
    <r>
      <rPr>
        <sz val="11"/>
        <rFont val="Calibri"/>
        <family val="2"/>
      </rPr>
      <t>HHDN (PV)</t>
    </r>
  </si>
  <si>
    <r>
      <rPr>
        <sz val="11"/>
        <rFont val="Calibri"/>
        <family val="2"/>
      </rPr>
      <t>Gội Nguyên Xuân Xanh</t>
    </r>
  </si>
  <si>
    <r>
      <rPr>
        <sz val="11"/>
        <rFont val="Calibri"/>
        <family val="2"/>
      </rPr>
      <t>HHDN (TPC)</t>
    </r>
  </si>
  <si>
    <r>
      <rPr>
        <sz val="11"/>
        <rFont val="Calibri"/>
        <family val="2"/>
      </rPr>
      <t>GOLD Pepzine new (H/20v sủi) -TC</t>
    </r>
  </si>
  <si>
    <r>
      <rPr>
        <sz val="11"/>
        <rFont val="Calibri"/>
        <family val="2"/>
      </rPr>
      <t>HHDN (TPC) nhỏH</t>
    </r>
  </si>
  <si>
    <r>
      <rPr>
        <sz val="11"/>
        <rFont val="Calibri"/>
        <family val="2"/>
      </rPr>
      <t>ộp</t>
    </r>
  </si>
  <si>
    <r>
      <rPr>
        <sz val="11"/>
        <rFont val="Calibri"/>
        <family val="2"/>
      </rPr>
      <t>Gót sen</t>
    </r>
  </si>
  <si>
    <r>
      <rPr>
        <sz val="11"/>
        <rFont val="Calibri"/>
        <family val="2"/>
      </rPr>
      <t>HHNN ( không nhận đổi trả )</t>
    </r>
  </si>
  <si>
    <r>
      <rPr>
        <sz val="11"/>
        <rFont val="Calibri"/>
        <family val="2"/>
      </rPr>
      <t>Gout TB</t>
    </r>
  </si>
  <si>
    <r>
      <rPr>
        <sz val="11"/>
        <rFont val="Calibri"/>
        <family val="2"/>
      </rPr>
      <t>Hít Thái</t>
    </r>
  </si>
  <si>
    <r>
      <rPr>
        <sz val="11"/>
        <rFont val="Calibri"/>
        <family val="2"/>
      </rPr>
      <t>Dây</t>
    </r>
  </si>
  <si>
    <r>
      <rPr>
        <sz val="11"/>
        <rFont val="Calibri"/>
        <family val="2"/>
      </rPr>
      <t>Gout Xuong kim Hòa</t>
    </r>
  </si>
  <si>
    <r>
      <rPr>
        <sz val="11"/>
        <rFont val="Calibri"/>
        <family val="2"/>
      </rPr>
      <t>Hít Vĩ - DL</t>
    </r>
  </si>
  <si>
    <r>
      <rPr>
        <sz val="11"/>
        <rFont val="Calibri"/>
        <family val="2"/>
      </rPr>
      <t>Vỉ</t>
    </r>
  </si>
  <si>
    <r>
      <rPr>
        <sz val="11"/>
        <rFont val="Calibri"/>
        <family val="2"/>
      </rPr>
      <t>Greelux</t>
    </r>
  </si>
  <si>
    <r>
      <rPr>
        <sz val="11"/>
        <rFont val="Calibri"/>
        <family val="2"/>
      </rPr>
      <t>Ho - Q5</t>
    </r>
  </si>
  <si>
    <r>
      <rPr>
        <sz val="11"/>
        <rFont val="Calibri"/>
        <family val="2"/>
      </rPr>
      <t>Green hair (C/60v)</t>
    </r>
  </si>
  <si>
    <r>
      <rPr>
        <sz val="11"/>
        <rFont val="Calibri"/>
        <family val="2"/>
      </rPr>
      <t>Ho Astex</t>
    </r>
  </si>
  <si>
    <r>
      <rPr>
        <sz val="11"/>
        <rFont val="Calibri"/>
        <family val="2"/>
      </rPr>
      <t>Grise 5% creme - MK</t>
    </r>
  </si>
  <si>
    <r>
      <rPr>
        <sz val="11"/>
        <rFont val="Calibri"/>
        <family val="2"/>
      </rPr>
      <t>Ho người lớn - OPC</t>
    </r>
  </si>
  <si>
    <r>
      <rPr>
        <sz val="11"/>
        <rFont val="Calibri"/>
        <family val="2"/>
      </rPr>
      <t>Grise 500 (H/20v) MK</t>
    </r>
  </si>
  <si>
    <r>
      <rPr>
        <sz val="11"/>
        <rFont val="Calibri"/>
        <family val="2"/>
      </rPr>
      <t>Ho PH 90ml</t>
    </r>
  </si>
  <si>
    <r>
      <rPr>
        <sz val="11"/>
        <rFont val="Calibri"/>
        <family val="2"/>
      </rPr>
      <t>Gừng Gutaca - HỘP/200v</t>
    </r>
  </si>
  <si>
    <r>
      <rPr>
        <sz val="11"/>
        <rFont val="Calibri"/>
        <family val="2"/>
      </rPr>
      <t>Ho song long-TĂNG GIÁ</t>
    </r>
  </si>
  <si>
    <r>
      <rPr>
        <sz val="11"/>
        <rFont val="Calibri"/>
        <family val="2"/>
      </rPr>
      <t>Gynapax (H/30 Gói)</t>
    </r>
  </si>
  <si>
    <r>
      <rPr>
        <sz val="11"/>
        <rFont val="Calibri"/>
        <family val="2"/>
      </rPr>
      <t>Hộ tạng đường (H/30v)</t>
    </r>
  </si>
  <si>
    <r>
      <rPr>
        <sz val="11"/>
        <rFont val="Calibri"/>
        <family val="2"/>
      </rPr>
      <t>Gynofar 250</t>
    </r>
  </si>
  <si>
    <r>
      <rPr>
        <sz val="11"/>
        <rFont val="Calibri"/>
        <family val="2"/>
      </rPr>
      <t>Ho trẻ em - OPC</t>
    </r>
  </si>
  <si>
    <r>
      <rPr>
        <sz val="11"/>
        <rFont val="Calibri"/>
        <family val="2"/>
      </rPr>
      <t>Gynofar 500</t>
    </r>
  </si>
  <si>
    <r>
      <rPr>
        <sz val="11"/>
        <rFont val="Calibri"/>
        <family val="2"/>
      </rPr>
      <t>Hoà hoãn linh (H/30v)</t>
    </r>
  </si>
  <si>
    <r>
      <rPr>
        <sz val="11"/>
        <rFont val="Calibri"/>
        <family val="2"/>
      </rPr>
      <t>Gynofar 90 (nhí)</t>
    </r>
  </si>
  <si>
    <r>
      <rPr>
        <sz val="11"/>
        <rFont val="Calibri"/>
        <family val="2"/>
      </rPr>
      <t>Hoàn Nguyên Vị (H/20v)</t>
    </r>
  </si>
  <si>
    <r>
      <rPr>
        <sz val="11"/>
        <rFont val="Calibri"/>
        <family val="2"/>
      </rPr>
      <t>Gyno-ternan</t>
    </r>
  </si>
  <si>
    <r>
      <rPr>
        <sz val="11"/>
        <rFont val="Calibri"/>
        <family val="2"/>
      </rPr>
      <t>Hoàn thấp linh</t>
    </r>
  </si>
  <si>
    <r>
      <rPr>
        <sz val="11"/>
        <rFont val="Calibri"/>
        <family val="2"/>
      </rPr>
      <t>Hạ áp ích nhân (H/40v)</t>
    </r>
  </si>
  <si>
    <r>
      <rPr>
        <sz val="11"/>
        <rFont val="Calibri"/>
        <family val="2"/>
      </rPr>
      <t>Hoàn thống phong</t>
    </r>
  </si>
  <si>
    <r>
      <rPr>
        <sz val="11"/>
        <rFont val="Calibri"/>
        <family val="2"/>
      </rPr>
      <t>Hà thủ ô - DMC</t>
    </r>
  </si>
  <si>
    <r>
      <rPr>
        <sz val="11"/>
        <rFont val="Calibri"/>
        <family val="2"/>
      </rPr>
      <t>Hoàn tố nữ</t>
    </r>
  </si>
  <si>
    <r>
      <rPr>
        <sz val="11"/>
        <rFont val="Calibri"/>
        <family val="2"/>
      </rPr>
      <t>Hà thủ ô - TPC</t>
    </r>
  </si>
  <si>
    <r>
      <rPr>
        <sz val="11"/>
        <rFont val="Calibri"/>
        <family val="2"/>
      </rPr>
      <t>Hoạt huyết apco</t>
    </r>
  </si>
  <si>
    <r>
      <rPr>
        <sz val="11"/>
        <rFont val="Calibri"/>
        <family val="2"/>
      </rPr>
      <t>Hà Thủ ô TW 3 3/2024</t>
    </r>
  </si>
  <si>
    <r>
      <rPr>
        <sz val="11"/>
        <rFont val="Calibri"/>
        <family val="2"/>
      </rPr>
      <t>HOẠT HUYẾT HD</t>
    </r>
  </si>
  <si>
    <r>
      <rPr>
        <sz val="11"/>
        <rFont val="Calibri"/>
        <family val="2"/>
      </rPr>
      <t>Hafixim 100 gói (H/24 gói)</t>
    </r>
  </si>
  <si>
    <r>
      <rPr>
        <sz val="11"/>
        <rFont val="Calibri"/>
        <family val="2"/>
      </rPr>
      <t>Hom - PV (H/60v)</t>
    </r>
  </si>
  <si>
    <r>
      <rPr>
        <sz val="11"/>
        <rFont val="Calibri"/>
        <family val="2"/>
      </rPr>
      <t>Hafixim 50 (gói)</t>
    </r>
  </si>
  <si>
    <r>
      <rPr>
        <sz val="11"/>
        <rFont val="Calibri"/>
        <family val="2"/>
      </rPr>
      <t>Hồng huyết tố</t>
    </r>
  </si>
  <si>
    <r>
      <rPr>
        <sz val="11"/>
        <color rgb="FFFF0000"/>
        <rFont val="Calibri"/>
        <family val="2"/>
      </rPr>
      <t>Hagimox 250 (gói)</t>
    </r>
  </si>
  <si>
    <r>
      <rPr>
        <sz val="11"/>
        <color rgb="FFFF0000"/>
        <rFont val="Calibri"/>
        <family val="2"/>
      </rPr>
      <t>H-Vacolaren</t>
    </r>
  </si>
  <si>
    <r>
      <rPr>
        <sz val="11"/>
        <rFont val="Calibri"/>
        <family val="2"/>
      </rPr>
      <t>Ibu 400 HG ( Hagifen )</t>
    </r>
  </si>
  <si>
    <r>
      <rPr>
        <sz val="11"/>
        <rFont val="Calibri"/>
        <family val="2"/>
      </rPr>
      <t>Kim long</t>
    </r>
  </si>
  <si>
    <r>
      <rPr>
        <sz val="11"/>
        <rFont val="Calibri"/>
        <family val="2"/>
      </rPr>
      <t>Ibu 400mg TV</t>
    </r>
  </si>
  <si>
    <r>
      <rPr>
        <sz val="11"/>
        <rFont val="Calibri"/>
        <family val="2"/>
      </rPr>
      <t>Kim miễn khang (H/30v)</t>
    </r>
  </si>
  <si>
    <r>
      <rPr>
        <sz val="11"/>
        <rFont val="Calibri"/>
        <family val="2"/>
      </rPr>
      <t>Ibu 600 - MK  -CT T5</t>
    </r>
  </si>
  <si>
    <r>
      <rPr>
        <sz val="11"/>
        <rFont val="Calibri"/>
        <family val="2"/>
      </rPr>
      <t>Kim Tân Sản Hậu</t>
    </r>
  </si>
  <si>
    <r>
      <rPr>
        <sz val="11"/>
        <rFont val="Calibri"/>
        <family val="2"/>
      </rPr>
      <t>Ibuparavic - Q4</t>
    </r>
  </si>
  <si>
    <r>
      <rPr>
        <sz val="11"/>
        <rFont val="Calibri"/>
        <family val="2"/>
      </rPr>
      <t>Kim Thần Khang (H/30v)</t>
    </r>
  </si>
  <si>
    <r>
      <rPr>
        <sz val="11"/>
        <rFont val="Calibri"/>
        <family val="2"/>
      </rPr>
      <t>Ích Giáp Vương (H/30v)</t>
    </r>
  </si>
  <si>
    <r>
      <rPr>
        <sz val="11"/>
        <rFont val="Calibri"/>
        <family val="2"/>
      </rPr>
      <t>Kim Thính (H/30v)</t>
    </r>
  </si>
  <si>
    <r>
      <rPr>
        <sz val="11"/>
        <rFont val="Calibri"/>
        <family val="2"/>
      </rPr>
      <t>Ích Mẫu Lợi Nhi</t>
    </r>
  </si>
  <si>
    <r>
      <rPr>
        <sz val="11"/>
        <rFont val="Calibri"/>
        <family val="2"/>
      </rPr>
      <t>Kim Tiền Thảo Đại Y</t>
    </r>
  </si>
  <si>
    <r>
      <rPr>
        <sz val="11"/>
        <rFont val="Calibri"/>
        <family val="2"/>
      </rPr>
      <t>Ich mẫu PV</t>
    </r>
  </si>
  <si>
    <r>
      <rPr>
        <sz val="11"/>
        <rFont val="Calibri"/>
        <family val="2"/>
      </rPr>
      <t>Kim tiền thảo OPC đường (C/100v)</t>
    </r>
  </si>
  <si>
    <r>
      <rPr>
        <sz val="11"/>
        <rFont val="Calibri"/>
        <family val="2"/>
      </rPr>
      <t>Ích nhi - ăn ngon MỚI</t>
    </r>
  </si>
  <si>
    <r>
      <rPr>
        <sz val="11"/>
        <rFont val="Calibri"/>
        <family val="2"/>
      </rPr>
      <t>Kim tiền thảo OPC fim (C/100v)</t>
    </r>
  </si>
  <si>
    <r>
      <rPr>
        <sz val="11"/>
        <rFont val="Calibri"/>
        <family val="2"/>
      </rPr>
      <t>Ích nhi - ho</t>
    </r>
  </si>
  <si>
    <r>
      <rPr>
        <sz val="11"/>
        <rFont val="Calibri"/>
        <family val="2"/>
      </rPr>
      <t>Kim tiền thảo PV (C/100v)</t>
    </r>
  </si>
  <si>
    <r>
      <rPr>
        <sz val="11"/>
        <rFont val="Calibri"/>
        <family val="2"/>
      </rPr>
      <t>Ích tâm khang (H/30v)</t>
    </r>
  </si>
  <si>
    <r>
      <rPr>
        <sz val="11"/>
        <rFont val="Calibri"/>
        <family val="2"/>
      </rPr>
      <t>Kisu (H/20v)-Hộp lớn-( Không nhận đ</t>
    </r>
  </si>
  <si>
    <r>
      <rPr>
        <sz val="11"/>
        <rFont val="Calibri"/>
        <family val="2"/>
      </rPr>
      <t>Ích thận vương (H/30v)</t>
    </r>
  </si>
  <si>
    <r>
      <rPr>
        <sz val="11"/>
        <rFont val="Calibri"/>
        <family val="2"/>
      </rPr>
      <t>Kizemit -S (Q4)</t>
    </r>
  </si>
  <si>
    <r>
      <rPr>
        <sz val="11"/>
        <rFont val="Calibri"/>
        <family val="2"/>
      </rPr>
      <t>Ích Tiểu Vương (H/30V)</t>
    </r>
  </si>
  <si>
    <r>
      <rPr>
        <sz val="11"/>
        <rFont val="Calibri"/>
        <family val="2"/>
      </rPr>
      <t>Kla  -  1G</t>
    </r>
  </si>
  <si>
    <r>
      <rPr>
        <sz val="11"/>
        <rFont val="Calibri"/>
        <family val="2"/>
      </rPr>
      <t>Ipalzac 250 (H/20v)</t>
    </r>
  </si>
  <si>
    <r>
      <rPr>
        <sz val="11"/>
        <rFont val="Calibri"/>
        <family val="2"/>
      </rPr>
      <t>Kla - 500</t>
    </r>
  </si>
  <si>
    <r>
      <rPr>
        <sz val="11"/>
        <rFont val="Calibri"/>
        <family val="2"/>
      </rPr>
      <t>Jasuny -Chai</t>
    </r>
  </si>
  <si>
    <r>
      <rPr>
        <sz val="11"/>
        <rFont val="Calibri"/>
        <family val="2"/>
      </rPr>
      <t>Kla - 625</t>
    </r>
  </si>
  <si>
    <r>
      <rPr>
        <sz val="11"/>
        <rFont val="Calibri"/>
        <family val="2"/>
      </rPr>
      <t>Jasuny -gói</t>
    </r>
  </si>
  <si>
    <r>
      <rPr>
        <sz val="11"/>
        <rFont val="Calibri"/>
        <family val="2"/>
      </rPr>
      <t>Kla (Gói)</t>
    </r>
  </si>
  <si>
    <r>
      <rPr>
        <sz val="11"/>
        <rFont val="Calibri"/>
        <family val="2"/>
      </rPr>
      <t>Juchi - xịt dày</t>
    </r>
  </si>
  <si>
    <r>
      <rPr>
        <sz val="11"/>
        <rFont val="Calibri"/>
        <family val="2"/>
      </rPr>
      <t>Klenzit C</t>
    </r>
  </si>
  <si>
    <r>
      <rPr>
        <sz val="11"/>
        <rFont val="Calibri"/>
        <family val="2"/>
      </rPr>
      <t>Kachita</t>
    </r>
  </si>
  <si>
    <r>
      <rPr>
        <sz val="11"/>
        <rFont val="Calibri"/>
        <family val="2"/>
      </rPr>
      <t>Klenzit MS</t>
    </r>
  </si>
  <si>
    <r>
      <rPr>
        <sz val="11"/>
        <rFont val="Calibri"/>
        <family val="2"/>
      </rPr>
      <t>Kakama PV</t>
    </r>
  </si>
  <si>
    <r>
      <rPr>
        <sz val="11"/>
        <rFont val="Calibri"/>
        <family val="2"/>
      </rPr>
      <t>KMG</t>
    </r>
  </si>
  <si>
    <r>
      <rPr>
        <sz val="11"/>
        <rFont val="Calibri"/>
        <family val="2"/>
      </rPr>
      <t>Kalecin 500  (H/10v)</t>
    </r>
  </si>
  <si>
    <r>
      <rPr>
        <sz val="11"/>
        <rFont val="Calibri"/>
        <family val="2"/>
      </rPr>
      <t>Konimag gói</t>
    </r>
  </si>
  <si>
    <r>
      <rPr>
        <sz val="11"/>
        <rFont val="Calibri"/>
        <family val="2"/>
      </rPr>
      <t>KD ( lớn) 25ml - OPC</t>
    </r>
  </si>
  <si>
    <r>
      <rPr>
        <sz val="11"/>
        <rFont val="Calibri"/>
        <family val="2"/>
      </rPr>
      <t>KT  XANH</t>
    </r>
  </si>
  <si>
    <r>
      <rPr>
        <sz val="11"/>
        <rFont val="Calibri"/>
        <family val="2"/>
      </rPr>
      <t>KD (nhỏ) 15ml - OPC</t>
    </r>
  </si>
  <si>
    <r>
      <rPr>
        <sz val="11"/>
        <rFont val="Calibri"/>
        <family val="2"/>
      </rPr>
      <t>KTT râu mèo</t>
    </r>
  </si>
  <si>
    <r>
      <rPr>
        <sz val="11"/>
        <rFont val="Calibri"/>
        <family val="2"/>
      </rPr>
      <t>KĐR Thái Dương LỚN 150G</t>
    </r>
  </si>
  <si>
    <r>
      <rPr>
        <sz val="11"/>
        <rFont val="Calibri"/>
        <family val="2"/>
      </rPr>
      <t>Lactacyd FH Lớn</t>
    </r>
  </si>
  <si>
    <r>
      <rPr>
        <sz val="11"/>
        <rFont val="Calibri"/>
        <family val="2"/>
      </rPr>
      <t>Kedermfa</t>
    </r>
  </si>
  <si>
    <r>
      <rPr>
        <sz val="11"/>
        <rFont val="Calibri"/>
        <family val="2"/>
      </rPr>
      <t>Lactacyd Lá Trầu</t>
    </r>
  </si>
  <si>
    <r>
      <rPr>
        <sz val="11"/>
        <rFont val="Calibri"/>
        <family val="2"/>
      </rPr>
      <t>Kelog - chai</t>
    </r>
  </si>
  <si>
    <r>
      <rPr>
        <sz val="11"/>
        <rFont val="Calibri"/>
        <family val="2"/>
      </rPr>
      <t>Lactagyl -NHỎH</t>
    </r>
  </si>
  <si>
    <r>
      <rPr>
        <sz val="11"/>
        <rFont val="Calibri"/>
        <family val="2"/>
      </rPr>
      <t>Kelog (hộp)</t>
    </r>
  </si>
  <si>
    <r>
      <rPr>
        <sz val="11"/>
        <rFont val="Calibri"/>
        <family val="2"/>
      </rPr>
      <t>Lactoplux. BABY 5g</t>
    </r>
  </si>
  <si>
    <r>
      <rPr>
        <sz val="11"/>
        <rFont val="Calibri"/>
        <family val="2"/>
      </rPr>
      <t>Kem EM BÉ</t>
    </r>
  </si>
  <si>
    <r>
      <rPr>
        <sz val="11"/>
        <rFont val="Calibri"/>
        <family val="2"/>
      </rPr>
      <t>L-Cystine (H/60v) BD</t>
    </r>
  </si>
  <si>
    <r>
      <rPr>
        <sz val="11"/>
        <rFont val="Calibri"/>
        <family val="2"/>
      </rPr>
      <t>Kem nghệ T.D</t>
    </r>
  </si>
  <si>
    <r>
      <rPr>
        <sz val="11"/>
        <rFont val="Calibri"/>
        <family val="2"/>
      </rPr>
      <t>Lcystyl NIC</t>
    </r>
  </si>
  <si>
    <r>
      <rPr>
        <sz val="11"/>
        <rFont val="Calibri"/>
        <family val="2"/>
      </rPr>
      <t>Kem Ngọc Châu-100G</t>
    </r>
  </si>
  <si>
    <r>
      <rPr>
        <sz val="11"/>
        <rFont val="Calibri"/>
        <family val="2"/>
      </rPr>
      <t>Levigatus</t>
    </r>
  </si>
  <si>
    <r>
      <rPr>
        <sz val="11"/>
        <rFont val="Calibri"/>
        <family val="2"/>
      </rPr>
      <t>Kem thanh thảo</t>
    </r>
  </si>
  <si>
    <r>
      <rPr>
        <sz val="11"/>
        <rFont val="Calibri"/>
        <family val="2"/>
      </rPr>
      <t>Linco 500 - DMK</t>
    </r>
  </si>
  <si>
    <r>
      <rPr>
        <sz val="11"/>
        <rFont val="Calibri"/>
        <family val="2"/>
      </rPr>
      <t>Kentax</t>
    </r>
  </si>
  <si>
    <r>
      <rPr>
        <sz val="11"/>
        <rFont val="Calibri"/>
        <family val="2"/>
      </rPr>
      <t>Linco 500 (H/100v) MK</t>
    </r>
  </si>
  <si>
    <r>
      <rPr>
        <sz val="11"/>
        <rFont val="Calibri"/>
        <family val="2"/>
      </rPr>
      <t>Kẹo C (H/46 túi) MK</t>
    </r>
  </si>
  <si>
    <r>
      <rPr>
        <sz val="11"/>
        <rFont val="Calibri"/>
        <family val="2"/>
      </rPr>
      <t>Linco AMEPHARCO  (H/100v)</t>
    </r>
  </si>
  <si>
    <r>
      <rPr>
        <sz val="11"/>
        <rFont val="Calibri"/>
        <family val="2"/>
      </rPr>
      <t>Kẹo cozzy HG</t>
    </r>
  </si>
  <si>
    <r>
      <rPr>
        <sz val="11"/>
        <rFont val="Calibri"/>
        <family val="2"/>
      </rPr>
      <t>Linh tự đan (H/30v)</t>
    </r>
  </si>
  <si>
    <r>
      <rPr>
        <sz val="11"/>
        <rFont val="Calibri"/>
        <family val="2"/>
      </rPr>
      <t>Kẹo Gừng Việt Nat</t>
    </r>
  </si>
  <si>
    <r>
      <rPr>
        <sz val="11"/>
        <rFont val="Calibri"/>
        <family val="2"/>
      </rPr>
      <t>Lipistad 20mg std</t>
    </r>
  </si>
  <si>
    <r>
      <rPr>
        <sz val="11"/>
        <rFont val="Calibri"/>
        <family val="2"/>
      </rPr>
      <t>Kẹo HIMALYA</t>
    </r>
  </si>
  <si>
    <r>
      <rPr>
        <sz val="11"/>
        <rFont val="Calibri"/>
        <family val="2"/>
      </rPr>
      <t>Lipitad 10 std ( ator )</t>
    </r>
  </si>
  <si>
    <r>
      <rPr>
        <sz val="11"/>
        <rFont val="Calibri"/>
        <family val="2"/>
      </rPr>
      <t>Kẹo Ho Ong Vàng (H/200v)</t>
    </r>
  </si>
  <si>
    <r>
      <rPr>
        <sz val="11"/>
        <rFont val="Calibri"/>
        <family val="2"/>
      </rPr>
      <t>Lishou lớn &gt; (C/45v)( Không nhận đổ</t>
    </r>
  </si>
  <si>
    <r>
      <rPr>
        <sz val="11"/>
        <rFont val="Calibri"/>
        <family val="2"/>
      </rPr>
      <t>Kẹo La Hán Qủa</t>
    </r>
  </si>
  <si>
    <r>
      <rPr>
        <sz val="11"/>
        <rFont val="Calibri"/>
        <family val="2"/>
      </rPr>
      <t>Lishou vĩ &lt; (H/24v)-( Không nhậnđổi</t>
    </r>
  </si>
  <si>
    <r>
      <rPr>
        <sz val="11"/>
        <rFont val="Calibri"/>
        <family val="2"/>
      </rPr>
      <t>H ộp</t>
    </r>
  </si>
  <si>
    <r>
      <rPr>
        <sz val="11"/>
        <rFont val="Calibri"/>
        <family val="2"/>
      </rPr>
      <t>Kẹo Ngâm Viatux</t>
    </r>
  </si>
  <si>
    <r>
      <rPr>
        <sz val="11"/>
        <rFont val="Calibri"/>
        <family val="2"/>
      </rPr>
      <t>Listeril 250ml</t>
    </r>
  </si>
  <si>
    <r>
      <rPr>
        <sz val="11"/>
        <rFont val="Calibri"/>
        <family val="2"/>
      </rPr>
      <t>KẸO SÂM</t>
    </r>
  </si>
  <si>
    <r>
      <rPr>
        <sz val="11"/>
        <rFont val="Calibri"/>
        <family val="2"/>
      </rPr>
      <t>Listeril 750ml</t>
    </r>
  </si>
  <si>
    <r>
      <rPr>
        <sz val="11"/>
        <rFont val="Calibri"/>
        <family val="2"/>
      </rPr>
      <t>Kẹo Streptasil RẺ</t>
    </r>
  </si>
  <si>
    <r>
      <rPr>
        <sz val="11"/>
        <rFont val="Calibri"/>
        <family val="2"/>
      </rPr>
      <t>LoHa trí não (H/30v)</t>
    </r>
  </si>
  <si>
    <r>
      <rPr>
        <sz val="11"/>
        <rFont val="Calibri"/>
        <family val="2"/>
      </rPr>
      <t>Kẹo tàu</t>
    </r>
  </si>
  <si>
    <r>
      <rPr>
        <sz val="11"/>
        <rFont val="Calibri"/>
        <family val="2"/>
      </rPr>
      <t>Lomedium (C/100V) - MK</t>
    </r>
  </si>
  <si>
    <r>
      <rPr>
        <sz val="11"/>
        <rFont val="Calibri"/>
        <family val="2"/>
      </rPr>
      <t>Keto (tube)</t>
    </r>
  </si>
  <si>
    <r>
      <rPr>
        <sz val="11"/>
        <rFont val="Calibri"/>
        <family val="2"/>
      </rPr>
      <t>Lomedium (H/20V) - MK</t>
    </r>
  </si>
  <si>
    <r>
      <rPr>
        <sz val="11"/>
        <rFont val="Calibri"/>
        <family val="2"/>
      </rPr>
      <t>Ketodexa</t>
    </r>
  </si>
  <si>
    <r>
      <rPr>
        <sz val="11"/>
        <rFont val="Calibri"/>
        <family val="2"/>
      </rPr>
      <t>Long Huyết Ph</t>
    </r>
  </si>
  <si>
    <r>
      <rPr>
        <sz val="11"/>
        <rFont val="Calibri"/>
        <family val="2"/>
      </rPr>
      <t>Khớp Linh chi</t>
    </r>
  </si>
  <si>
    <r>
      <rPr>
        <sz val="11"/>
        <rFont val="Calibri"/>
        <family val="2"/>
      </rPr>
      <t>Loperamic-H50V -DMC</t>
    </r>
  </si>
  <si>
    <r>
      <rPr>
        <sz val="11"/>
        <rFont val="Calibri"/>
        <family val="2"/>
      </rPr>
      <t>Khớp Nhân hưng</t>
    </r>
  </si>
  <si>
    <r>
      <rPr>
        <sz val="11"/>
        <rFont val="Calibri"/>
        <family val="2"/>
      </rPr>
      <t>Loperamid  ẤN</t>
    </r>
  </si>
  <si>
    <r>
      <rPr>
        <sz val="11"/>
        <rFont val="Calibri"/>
        <family val="2"/>
      </rPr>
      <t>Khớp PV</t>
    </r>
  </si>
  <si>
    <r>
      <rPr>
        <sz val="11"/>
        <rFont val="Calibri"/>
        <family val="2"/>
      </rPr>
      <t>Lora DMK</t>
    </r>
  </si>
  <si>
    <r>
      <rPr>
        <sz val="11"/>
        <rFont val="Calibri"/>
        <family val="2"/>
      </rPr>
      <t>Khớp TB</t>
    </r>
  </si>
  <si>
    <r>
      <rPr>
        <sz val="11"/>
        <rFont val="Calibri"/>
        <family val="2"/>
      </rPr>
      <t>Loratadin ( C-nén  200v ) Q4</t>
    </r>
  </si>
  <si>
    <r>
      <rPr>
        <sz val="11"/>
        <rFont val="Calibri"/>
        <family val="2"/>
      </rPr>
      <t>Khương Thảo Đan</t>
    </r>
  </si>
  <si>
    <r>
      <rPr>
        <sz val="11"/>
        <rFont val="Calibri"/>
        <family val="2"/>
      </rPr>
      <t>Loratadin AT</t>
    </r>
  </si>
  <si>
    <r>
      <rPr>
        <sz val="11"/>
        <rFont val="Calibri"/>
        <family val="2"/>
      </rPr>
      <t>Khuynh diệp TS 24ml (H/12c)</t>
    </r>
  </si>
  <si>
    <r>
      <rPr>
        <sz val="11"/>
        <rFont val="Calibri"/>
        <family val="2"/>
      </rPr>
      <t>Loratadin BD ( h100v)</t>
    </r>
  </si>
  <si>
    <r>
      <rPr>
        <sz val="11"/>
        <rFont val="Calibri"/>
        <family val="2"/>
      </rPr>
      <t>Kidnex đổi nắp</t>
    </r>
  </si>
  <si>
    <r>
      <rPr>
        <sz val="11"/>
        <rFont val="Calibri"/>
        <family val="2"/>
      </rPr>
      <t>Loratadin -cap Q4</t>
    </r>
  </si>
  <si>
    <r>
      <rPr>
        <sz val="11"/>
        <rFont val="Calibri"/>
        <family val="2"/>
      </rPr>
      <t>Kidnex tim sen -TĂNG GIÁ</t>
    </r>
  </si>
  <si>
    <r>
      <rPr>
        <sz val="11"/>
        <rFont val="Calibri"/>
        <family val="2"/>
      </rPr>
      <t>Loratadin vỉ - Q4</t>
    </r>
  </si>
  <si>
    <r>
      <rPr>
        <sz val="11"/>
        <rFont val="Calibri"/>
        <family val="2"/>
      </rPr>
      <t>Kiều xuân</t>
    </r>
  </si>
  <si>
    <r>
      <rPr>
        <sz val="11"/>
        <rFont val="Calibri"/>
        <family val="2"/>
      </rPr>
      <t>Losartan 25 std</t>
    </r>
  </si>
  <si>
    <r>
      <rPr>
        <sz val="11"/>
        <color rgb="FFFF0000"/>
        <rFont val="Calibri"/>
        <family val="2"/>
      </rPr>
      <t>Kim đởm khang (H/30v)</t>
    </r>
  </si>
  <si>
    <r>
      <rPr>
        <sz val="11"/>
        <color rgb="FFFF0000"/>
        <rFont val="Calibri"/>
        <family val="2"/>
      </rPr>
      <t>Losartan 50mg Stada</t>
    </r>
  </si>
  <si>
    <r>
      <rPr>
        <sz val="11"/>
        <rFont val="Calibri"/>
        <family val="2"/>
      </rPr>
      <t>Losartan 50-SAVI</t>
    </r>
  </si>
  <si>
    <r>
      <rPr>
        <sz val="11"/>
        <rFont val="Calibri"/>
        <family val="2"/>
      </rPr>
      <t>Milian</t>
    </r>
  </si>
  <si>
    <r>
      <rPr>
        <sz val="11"/>
        <rFont val="Calibri"/>
        <family val="2"/>
      </rPr>
      <t>Lovastatin (H/10v)</t>
    </r>
  </si>
  <si>
    <r>
      <rPr>
        <sz val="11"/>
        <rFont val="Calibri"/>
        <family val="2"/>
      </rPr>
      <t>Mimosa (H/50v) OPC</t>
    </r>
  </si>
  <si>
    <r>
      <rPr>
        <sz val="11"/>
        <rFont val="Calibri"/>
        <family val="2"/>
      </rPr>
      <t>Lưu huỳnh</t>
    </r>
  </si>
  <si>
    <r>
      <rPr>
        <sz val="11"/>
        <rFont val="Calibri"/>
        <family val="2"/>
      </rPr>
      <t>Minh nhãn khang (H/30v)</t>
    </r>
  </si>
  <si>
    <r>
      <rPr>
        <sz val="11"/>
        <rFont val="Calibri"/>
        <family val="2"/>
      </rPr>
      <t>Lysin 94</t>
    </r>
  </si>
  <si>
    <r>
      <rPr>
        <sz val="11"/>
        <rFont val="Calibri"/>
        <family val="2"/>
      </rPr>
      <t>Mistasol -quận 4</t>
    </r>
  </si>
  <si>
    <r>
      <rPr>
        <sz val="11"/>
        <rFont val="Calibri"/>
        <family val="2"/>
      </rPr>
      <t>Lyzoben (Tube/24v)</t>
    </r>
  </si>
  <si>
    <r>
      <rPr>
        <sz val="11"/>
        <rFont val="Calibri"/>
        <family val="2"/>
      </rPr>
      <t>Mistazol -NIC</t>
    </r>
  </si>
  <si>
    <r>
      <rPr>
        <sz val="11"/>
        <rFont val="Calibri"/>
        <family val="2"/>
      </rPr>
      <t>Magie B6 - MH 50V</t>
    </r>
  </si>
  <si>
    <r>
      <rPr>
        <sz val="11"/>
        <rFont val="Calibri"/>
        <family val="2"/>
      </rPr>
      <t>Mitux 200 (gói)</t>
    </r>
  </si>
  <si>
    <r>
      <rPr>
        <sz val="11"/>
        <rFont val="Calibri"/>
        <family val="2"/>
      </rPr>
      <t>Magne B6 Corbiere -Ngoại</t>
    </r>
  </si>
  <si>
    <r>
      <rPr>
        <sz val="11"/>
        <rFont val="Calibri"/>
        <family val="2"/>
      </rPr>
      <t>Mitux E (gói)</t>
    </r>
  </si>
  <si>
    <r>
      <rPr>
        <sz val="11"/>
        <rFont val="Calibri"/>
        <family val="2"/>
      </rPr>
      <t>Maica</t>
    </r>
  </si>
  <si>
    <r>
      <rPr>
        <sz val="11"/>
        <rFont val="Calibri"/>
        <family val="2"/>
      </rPr>
      <t>MK.Cefac 250 (Viên) (H/12v)</t>
    </r>
  </si>
  <si>
    <r>
      <rPr>
        <sz val="11"/>
        <rFont val="Calibri"/>
        <family val="2"/>
      </rPr>
      <t>Maica - lox/20c</t>
    </r>
  </si>
  <si>
    <r>
      <rPr>
        <sz val="11"/>
        <rFont val="Calibri"/>
        <family val="2"/>
      </rPr>
      <t>MK.Cefadro xil 250(g)  (H/30 gói) CT</t>
    </r>
  </si>
  <si>
    <r>
      <rPr>
        <sz val="11"/>
        <rFont val="Calibri"/>
        <family val="2"/>
      </rPr>
      <t>Maloxid (H/80v) MK</t>
    </r>
  </si>
  <si>
    <r>
      <rPr>
        <sz val="11"/>
        <rFont val="Calibri"/>
        <family val="2"/>
      </rPr>
      <t>MK.Cepha 250 gói (H/24 gói)</t>
    </r>
  </si>
  <si>
    <r>
      <rPr>
        <sz val="11"/>
        <rFont val="Calibri"/>
        <family val="2"/>
      </rPr>
      <t>Marvelon ( Ngừa thai )</t>
    </r>
  </si>
  <si>
    <r>
      <rPr>
        <sz val="11"/>
        <rFont val="Calibri"/>
        <family val="2"/>
      </rPr>
      <t>MK.Cetin</t>
    </r>
  </si>
  <si>
    <r>
      <rPr>
        <sz val="11"/>
        <rFont val="Calibri"/>
        <family val="2"/>
      </rPr>
      <t>Mát gan giải độc</t>
    </r>
  </si>
  <si>
    <r>
      <rPr>
        <sz val="11"/>
        <rFont val="Calibri"/>
        <family val="2"/>
      </rPr>
      <t>MK.Fenac</t>
    </r>
  </si>
  <si>
    <r>
      <rPr>
        <sz val="11"/>
        <rFont val="Calibri"/>
        <family val="2"/>
      </rPr>
      <t>MAT ONG HONEY &lt;</t>
    </r>
  </si>
  <si>
    <r>
      <rPr>
        <sz val="11"/>
        <rFont val="Calibri"/>
        <family val="2"/>
      </rPr>
      <t>MK.Indocin</t>
    </r>
  </si>
  <si>
    <r>
      <rPr>
        <sz val="11"/>
        <rFont val="Calibri"/>
        <family val="2"/>
      </rPr>
      <t>Mật ong LK 250ml</t>
    </r>
  </si>
  <si>
    <r>
      <rPr>
        <sz val="11"/>
        <rFont val="Calibri"/>
        <family val="2"/>
      </rPr>
      <t>MK.Inh 150</t>
    </r>
  </si>
  <si>
    <r>
      <rPr>
        <sz val="11"/>
        <rFont val="Calibri"/>
        <family val="2"/>
      </rPr>
      <t>Mật ong lớn (LK)</t>
    </r>
  </si>
  <si>
    <r>
      <rPr>
        <sz val="11"/>
        <rFont val="Calibri"/>
        <family val="2"/>
      </rPr>
      <t>MK.Tricin</t>
    </r>
  </si>
  <si>
    <r>
      <rPr>
        <sz val="11"/>
        <rFont val="Calibri"/>
        <family val="2"/>
      </rPr>
      <t>Mật ong lớn (QM)</t>
    </r>
  </si>
  <si>
    <r>
      <rPr>
        <sz val="11"/>
        <rFont val="Calibri"/>
        <family val="2"/>
      </rPr>
      <t>MK.Zitex (H/150v)</t>
    </r>
  </si>
  <si>
    <r>
      <rPr>
        <sz val="11"/>
        <rFont val="Calibri"/>
        <family val="2"/>
      </rPr>
      <t>Mật ong nhí (LK)</t>
    </r>
  </si>
  <si>
    <r>
      <rPr>
        <sz val="11"/>
        <rFont val="Calibri"/>
        <family val="2"/>
      </rPr>
      <t>Mồ hôi trộn ĐT</t>
    </r>
  </si>
  <si>
    <r>
      <rPr>
        <sz val="11"/>
        <rFont val="Calibri"/>
        <family val="2"/>
      </rPr>
      <t>Mật ong nhỏ (QM)</t>
    </r>
  </si>
  <si>
    <r>
      <rPr>
        <sz val="11"/>
        <rFont val="Calibri"/>
        <family val="2"/>
      </rPr>
      <t>Mở máu TB</t>
    </r>
  </si>
  <si>
    <r>
      <rPr>
        <sz val="11"/>
        <rFont val="Calibri"/>
        <family val="2"/>
      </rPr>
      <t>Max Glu 1500</t>
    </r>
  </si>
  <si>
    <r>
      <rPr>
        <sz val="11"/>
        <rFont val="Calibri"/>
        <family val="2"/>
      </rPr>
      <t>Mộc Hoa Trắng -APPCO</t>
    </r>
  </si>
  <si>
    <r>
      <rPr>
        <sz val="11"/>
        <rFont val="Calibri"/>
        <family val="2"/>
      </rPr>
      <t>Maxdotyl 50 (H/30v)</t>
    </r>
  </si>
  <si>
    <r>
      <rPr>
        <sz val="11"/>
        <rFont val="Calibri"/>
        <family val="2"/>
      </rPr>
      <t>Mộc Hoa Trắng -Hà Tĩnh</t>
    </r>
  </si>
  <si>
    <r>
      <rPr>
        <sz val="11"/>
        <rFont val="Calibri"/>
        <family val="2"/>
      </rPr>
      <t>Maxgel</t>
    </r>
  </si>
  <si>
    <r>
      <rPr>
        <sz val="11"/>
        <rFont val="Calibri"/>
        <family val="2"/>
      </rPr>
      <t>Modom S (H/100v)</t>
    </r>
  </si>
  <si>
    <r>
      <rPr>
        <sz val="11"/>
        <rFont val="Calibri"/>
        <family val="2"/>
      </rPr>
      <t>Maxhair ( không nhận đổi trả )</t>
    </r>
  </si>
  <si>
    <r>
      <rPr>
        <sz val="11"/>
        <rFont val="Calibri"/>
        <family val="2"/>
      </rPr>
      <t>Molitoux</t>
    </r>
  </si>
  <si>
    <r>
      <rPr>
        <sz val="11"/>
        <rFont val="Calibri"/>
        <family val="2"/>
      </rPr>
      <t>Meben 500 - MK</t>
    </r>
  </si>
  <si>
    <r>
      <rPr>
        <sz val="11"/>
        <rFont val="Calibri"/>
        <family val="2"/>
      </rPr>
      <t>Morinda - chai</t>
    </r>
  </si>
  <si>
    <r>
      <rPr>
        <sz val="11"/>
        <rFont val="Calibri"/>
        <family val="2"/>
      </rPr>
      <t>MEDORAL -Súc họng</t>
    </r>
  </si>
  <si>
    <r>
      <rPr>
        <sz val="11"/>
        <rFont val="Calibri"/>
        <family val="2"/>
      </rPr>
      <t>Motimilum (H/100v) PV</t>
    </r>
  </si>
  <si>
    <r>
      <rPr>
        <sz val="11"/>
        <rFont val="Calibri"/>
        <family val="2"/>
      </rPr>
      <t>MEDROL 16 Q4 (H/30v)</t>
    </r>
  </si>
  <si>
    <r>
      <rPr>
        <sz val="11"/>
        <rFont val="Calibri"/>
        <family val="2"/>
      </rPr>
      <t>MOUPAST</t>
    </r>
  </si>
  <si>
    <r>
      <rPr>
        <sz val="11"/>
        <rFont val="Calibri"/>
        <family val="2"/>
      </rPr>
      <t>MEDROL 16mg -PV</t>
    </r>
  </si>
  <si>
    <r>
      <rPr>
        <sz val="11"/>
        <rFont val="Calibri"/>
        <family val="2"/>
      </rPr>
      <t>Mù U -TK</t>
    </r>
  </si>
  <si>
    <r>
      <rPr>
        <sz val="11"/>
        <rFont val="Calibri"/>
        <family val="2"/>
      </rPr>
      <t>Medrol 4mg Q4 (H/30v)</t>
    </r>
  </si>
  <si>
    <r>
      <rPr>
        <sz val="11"/>
        <rFont val="Calibri"/>
        <family val="2"/>
      </rPr>
      <t>Multi sủi (Tube/20v)  OPC</t>
    </r>
  </si>
  <si>
    <r>
      <rPr>
        <sz val="11"/>
        <rFont val="Calibri"/>
        <family val="2"/>
      </rPr>
      <t>Medskin clovir HG</t>
    </r>
  </si>
  <si>
    <r>
      <rPr>
        <sz val="11"/>
        <rFont val="Calibri"/>
        <family val="2"/>
      </rPr>
      <t>Multi sủi -Đại y</t>
    </r>
  </si>
  <si>
    <r>
      <rPr>
        <sz val="11"/>
        <rFont val="Calibri"/>
        <family val="2"/>
      </rPr>
      <t>Medskin mụn 6/2022</t>
    </r>
  </si>
  <si>
    <r>
      <rPr>
        <sz val="11"/>
        <rFont val="Calibri"/>
        <family val="2"/>
      </rPr>
      <t>Multi sủi Nam Hà</t>
    </r>
  </si>
  <si>
    <r>
      <rPr>
        <sz val="11"/>
        <rFont val="Calibri"/>
        <family val="2"/>
      </rPr>
      <t>Medskin mụn HG</t>
    </r>
  </si>
  <si>
    <r>
      <rPr>
        <sz val="11"/>
        <rFont val="Calibri"/>
        <family val="2"/>
      </rPr>
      <t>MumMilk (H/20 gói)</t>
    </r>
  </si>
  <si>
    <r>
      <rPr>
        <sz val="11"/>
        <rFont val="Calibri"/>
        <family val="2"/>
      </rPr>
      <t>Medsolu 16mg  QB (H/30v)</t>
    </r>
  </si>
  <si>
    <r>
      <rPr>
        <sz val="11"/>
        <rFont val="Calibri"/>
        <family val="2"/>
      </rPr>
      <t>Mute - M gói (H/30 gói)</t>
    </r>
  </si>
  <si>
    <r>
      <rPr>
        <sz val="11"/>
        <rFont val="Calibri"/>
        <family val="2"/>
      </rPr>
      <t>Medsolu 4mg  QB (H/30v)</t>
    </r>
  </si>
  <si>
    <r>
      <rPr>
        <sz val="11"/>
        <rFont val="Calibri"/>
        <family val="2"/>
      </rPr>
      <t>Mute - M vĩ-MKF</t>
    </r>
  </si>
  <si>
    <r>
      <rPr>
        <sz val="11"/>
        <rFont val="Calibri"/>
        <family val="2"/>
      </rPr>
      <t>Meflavon 500 - MK</t>
    </r>
  </si>
  <si>
    <r>
      <rPr>
        <sz val="11"/>
        <rFont val="Calibri"/>
        <family val="2"/>
      </rPr>
      <t>Muti - C/500 (APCO)</t>
    </r>
  </si>
  <si>
    <r>
      <rPr>
        <sz val="11"/>
        <rFont val="Calibri"/>
        <family val="2"/>
      </rPr>
      <t>Megaduo gel</t>
    </r>
  </si>
  <si>
    <r>
      <rPr>
        <sz val="11"/>
        <rFont val="Calibri"/>
        <family val="2"/>
      </rPr>
      <t>Mutilium siro MKF</t>
    </r>
  </si>
  <si>
    <r>
      <rPr>
        <sz val="11"/>
        <rFont val="Calibri"/>
        <family val="2"/>
      </rPr>
      <t>MEKEN NN</t>
    </r>
  </si>
  <si>
    <r>
      <rPr>
        <sz val="11"/>
        <rFont val="Calibri"/>
        <family val="2"/>
      </rPr>
      <t>Mycocid pd - MK</t>
    </r>
  </si>
  <si>
    <r>
      <rPr>
        <sz val="11"/>
        <rFont val="Calibri"/>
        <family val="2"/>
      </rPr>
      <t>Melo 7.5 (H/20v) DMK/2023</t>
    </r>
  </si>
  <si>
    <r>
      <rPr>
        <sz val="11"/>
        <rFont val="Calibri"/>
        <family val="2"/>
      </rPr>
      <t>Mycophar 12ml</t>
    </r>
  </si>
  <si>
    <r>
      <rPr>
        <sz val="11"/>
        <rFont val="Calibri"/>
        <family val="2"/>
      </rPr>
      <t>Meloxicam 75 -ẤN</t>
    </r>
  </si>
  <si>
    <r>
      <rPr>
        <sz val="11"/>
        <rFont val="Calibri"/>
        <family val="2"/>
      </rPr>
      <t>My-vi-ta (cam) (Tube/20v)</t>
    </r>
  </si>
  <si>
    <r>
      <rPr>
        <sz val="11"/>
        <rFont val="Calibri"/>
        <family val="2"/>
      </rPr>
      <t>Menisone 16mg -phú yên</t>
    </r>
  </si>
  <si>
    <r>
      <rPr>
        <sz val="11"/>
        <rFont val="Calibri"/>
        <family val="2"/>
      </rPr>
      <t>Nabifar (H/10 gói)</t>
    </r>
  </si>
  <si>
    <r>
      <rPr>
        <sz val="11"/>
        <rFont val="Calibri"/>
        <family val="2"/>
      </rPr>
      <t>Mepraz sanofi</t>
    </r>
  </si>
  <si>
    <r>
      <rPr>
        <sz val="11"/>
        <rFont val="Calibri"/>
        <family val="2"/>
      </rPr>
      <t>Napha sủi (H/4 vỉ) N.HÀ</t>
    </r>
  </si>
  <si>
    <r>
      <rPr>
        <sz val="11"/>
        <rFont val="Calibri"/>
        <family val="2"/>
      </rPr>
      <t>Merformin 850 std</t>
    </r>
  </si>
  <si>
    <r>
      <rPr>
        <sz val="11"/>
        <rFont val="Calibri"/>
        <family val="2"/>
      </rPr>
      <t>Naphacogyl-TĂNG</t>
    </r>
  </si>
  <si>
    <r>
      <rPr>
        <sz val="11"/>
        <rFont val="Calibri"/>
        <family val="2"/>
      </rPr>
      <t>Merthorphan TPC /H20v</t>
    </r>
  </si>
  <si>
    <r>
      <rPr>
        <sz val="11"/>
        <rFont val="Calibri"/>
        <family val="2"/>
      </rPr>
      <t>Naphacollye  8ml (mắt)</t>
    </r>
  </si>
  <si>
    <r>
      <rPr>
        <sz val="11"/>
        <rFont val="Calibri"/>
        <family val="2"/>
      </rPr>
      <t>Merthorphan TPC -LỚN 100V</t>
    </r>
  </si>
  <si>
    <r>
      <rPr>
        <sz val="11"/>
        <rFont val="Calibri"/>
        <family val="2"/>
      </rPr>
      <t>Narcugo NHỎ xịt 12ml</t>
    </r>
  </si>
  <si>
    <r>
      <rPr>
        <sz val="11"/>
        <rFont val="Calibri"/>
        <family val="2"/>
      </rPr>
      <t>Meseca -XỊT ( CAM )</t>
    </r>
  </si>
  <si>
    <r>
      <rPr>
        <sz val="11"/>
        <rFont val="Calibri"/>
        <family val="2"/>
      </rPr>
      <t>NARCURGO gel</t>
    </r>
  </si>
  <si>
    <r>
      <rPr>
        <sz val="11"/>
        <rFont val="Calibri"/>
        <family val="2"/>
      </rPr>
      <t>Metaflam 25 (H/6v)</t>
    </r>
  </si>
  <si>
    <r>
      <rPr>
        <sz val="11"/>
        <rFont val="Calibri"/>
        <family val="2"/>
      </rPr>
      <t>Narcurgo xit lớn</t>
    </r>
  </si>
  <si>
    <r>
      <rPr>
        <sz val="11"/>
        <rFont val="Calibri"/>
        <family val="2"/>
      </rPr>
      <t>Methi 250 - MK</t>
    </r>
  </si>
  <si>
    <r>
      <rPr>
        <sz val="11"/>
        <rFont val="Calibri"/>
        <family val="2"/>
      </rPr>
      <t>Nasalic (C/60v)</t>
    </r>
  </si>
  <si>
    <r>
      <rPr>
        <sz val="11"/>
        <rFont val="Calibri"/>
        <family val="2"/>
      </rPr>
      <t>Methyl presni 4mg -MKF</t>
    </r>
  </si>
  <si>
    <r>
      <rPr>
        <sz val="11"/>
        <rFont val="Calibri"/>
        <family val="2"/>
      </rPr>
      <t>Natri (Mắt) - DL</t>
    </r>
  </si>
  <si>
    <r>
      <rPr>
        <sz val="11"/>
        <rFont val="Calibri"/>
        <family val="2"/>
      </rPr>
      <t>METHYLPRESNI 16- Khánh Hòa</t>
    </r>
  </si>
  <si>
    <r>
      <rPr>
        <sz val="11"/>
        <rFont val="Calibri"/>
        <family val="2"/>
      </rPr>
      <t>Natri (Mũi) - DL</t>
    </r>
  </si>
  <si>
    <r>
      <rPr>
        <sz val="11"/>
        <rFont val="Calibri"/>
        <family val="2"/>
      </rPr>
      <t>METHYLPRESNI 16mg -MKF</t>
    </r>
  </si>
  <si>
    <r>
      <rPr>
        <sz val="11"/>
        <rFont val="Calibri"/>
        <family val="2"/>
      </rPr>
      <t>Natri MM rẻ</t>
    </r>
  </si>
  <si>
    <r>
      <rPr>
        <sz val="11"/>
        <rFont val="Calibri"/>
        <family val="2"/>
      </rPr>
      <t>Metro 250mg -HG</t>
    </r>
  </si>
  <si>
    <r>
      <rPr>
        <sz val="11"/>
        <rFont val="Calibri"/>
        <family val="2"/>
      </rPr>
      <t>Natto Enzym -Lọ 60v</t>
    </r>
  </si>
  <si>
    <r>
      <rPr>
        <sz val="11"/>
        <rFont val="Calibri"/>
        <family val="2"/>
      </rPr>
      <t>Meyer Clas 20 ( Tadalafil 20mg )</t>
    </r>
  </si>
  <si>
    <r>
      <rPr>
        <sz val="11"/>
        <rFont val="Calibri"/>
        <family val="2"/>
      </rPr>
      <t>NattoEnzym</t>
    </r>
  </si>
  <si>
    <r>
      <rPr>
        <sz val="11"/>
        <rFont val="Calibri"/>
        <family val="2"/>
      </rPr>
      <t>Miferiston 10</t>
    </r>
  </si>
  <si>
    <r>
      <rPr>
        <sz val="11"/>
        <rFont val="Calibri"/>
        <family val="2"/>
      </rPr>
      <t>Nattospes (H/30v)</t>
    </r>
  </si>
  <si>
    <r>
      <rPr>
        <sz val="11"/>
        <color rgb="FFFF0000"/>
        <rFont val="Calibri"/>
        <family val="2"/>
      </rPr>
      <t>Migrin</t>
    </r>
  </si>
  <si>
    <r>
      <rPr>
        <sz val="11"/>
        <color rgb="FFFF0000"/>
        <rFont val="Calibri"/>
        <family val="2"/>
      </rPr>
      <t>Natufib</t>
    </r>
  </si>
  <si>
    <r>
      <rPr>
        <sz val="11"/>
        <rFont val="Calibri"/>
        <family val="2"/>
      </rPr>
      <t>Natuzen</t>
    </r>
  </si>
  <si>
    <r>
      <rPr>
        <sz val="11"/>
        <rFont val="Calibri"/>
        <family val="2"/>
      </rPr>
      <t>OHNO</t>
    </r>
  </si>
  <si>
    <r>
      <rPr>
        <sz val="11"/>
        <rFont val="Calibri"/>
        <family val="2"/>
      </rPr>
      <t>Nebivolol 5mg -STD</t>
    </r>
  </si>
  <si>
    <r>
      <rPr>
        <sz val="11"/>
        <rFont val="Calibri"/>
        <family val="2"/>
      </rPr>
      <t>OMAX DMC</t>
    </r>
  </si>
  <si>
    <r>
      <rPr>
        <sz val="11"/>
        <rFont val="Calibri"/>
        <family val="2"/>
      </rPr>
      <t>Neo rẻ - TV</t>
    </r>
  </si>
  <si>
    <r>
      <rPr>
        <sz val="11"/>
        <rFont val="Calibri"/>
        <family val="2"/>
      </rPr>
      <t>Ome - DMC</t>
    </r>
  </si>
  <si>
    <r>
      <rPr>
        <sz val="11"/>
        <rFont val="Calibri"/>
        <family val="2"/>
      </rPr>
      <t>Neocin - DL</t>
    </r>
  </si>
  <si>
    <r>
      <rPr>
        <sz val="11"/>
        <rFont val="Calibri"/>
        <family val="2"/>
      </rPr>
      <t>Ome 20-HG /LỌ</t>
    </r>
  </si>
  <si>
    <r>
      <rPr>
        <sz val="11"/>
        <rFont val="Calibri"/>
        <family val="2"/>
      </rPr>
      <t>Neodex - DL</t>
    </r>
  </si>
  <si>
    <r>
      <rPr>
        <sz val="11"/>
        <rFont val="Calibri"/>
        <family val="2"/>
      </rPr>
      <t>Ome ấn ( ometul )</t>
    </r>
  </si>
  <si>
    <r>
      <rPr>
        <sz val="11"/>
        <rFont val="Calibri"/>
        <family val="2"/>
      </rPr>
      <t>NEWCHOI  (H/25 vỉ)</t>
    </r>
  </si>
  <si>
    <r>
      <rPr>
        <sz val="11"/>
        <rFont val="Calibri"/>
        <family val="2"/>
      </rPr>
      <t>Ome Hậu Giang</t>
    </r>
  </si>
  <si>
    <r>
      <rPr>
        <sz val="11"/>
        <rFont val="Calibri"/>
        <family val="2"/>
      </rPr>
      <t>NewLevo</t>
    </r>
  </si>
  <si>
    <r>
      <rPr>
        <sz val="11"/>
        <rFont val="Calibri"/>
        <family val="2"/>
      </rPr>
      <t>Ome Lọ ( Kagasdie 1000v)</t>
    </r>
  </si>
  <si>
    <r>
      <rPr>
        <sz val="11"/>
        <rFont val="Calibri"/>
        <family val="2"/>
      </rPr>
      <t>Newlevo</t>
    </r>
  </si>
  <si>
    <r>
      <rPr>
        <sz val="11"/>
        <rFont val="Calibri"/>
        <family val="2"/>
      </rPr>
      <t>Omeraz 20</t>
    </r>
  </si>
  <si>
    <r>
      <rPr>
        <sz val="11"/>
        <rFont val="Calibri"/>
        <family val="2"/>
      </rPr>
      <t>Nga phụ khang (C/60v)</t>
    </r>
  </si>
  <si>
    <r>
      <rPr>
        <sz val="11"/>
        <rFont val="Calibri"/>
        <family val="2"/>
      </rPr>
      <t>ONCOLYSIN</t>
    </r>
  </si>
  <si>
    <r>
      <rPr>
        <sz val="11"/>
        <rFont val="Calibri"/>
        <family val="2"/>
      </rPr>
      <t>Nghệ Bột - LỚN</t>
    </r>
  </si>
  <si>
    <r>
      <rPr>
        <sz val="11"/>
        <rFont val="Calibri"/>
        <family val="2"/>
      </rPr>
      <t>Ong Vàng (H/30 gói)</t>
    </r>
  </si>
  <si>
    <r>
      <rPr>
        <sz val="11"/>
        <rFont val="Calibri"/>
        <family val="2"/>
      </rPr>
      <t>Nghe bot sanh - NHỎ</t>
    </r>
  </si>
  <si>
    <r>
      <rPr>
        <sz val="11"/>
        <rFont val="Calibri"/>
        <family val="2"/>
      </rPr>
      <t>Ong vàng tăng sức đề kháng</t>
    </r>
  </si>
  <si>
    <r>
      <rPr>
        <sz val="11"/>
        <rFont val="Calibri"/>
        <family val="2"/>
      </rPr>
      <t>Nghệ đen - QM</t>
    </r>
  </si>
  <si>
    <r>
      <rPr>
        <sz val="11"/>
        <rFont val="Calibri"/>
        <family val="2"/>
      </rPr>
      <t>Opecan (H/30v)</t>
    </r>
  </si>
  <si>
    <r>
      <rPr>
        <sz val="11"/>
        <rFont val="Calibri"/>
        <family val="2"/>
      </rPr>
      <t>Nghệ đen LK</t>
    </r>
  </si>
  <si>
    <r>
      <rPr>
        <sz val="11"/>
        <rFont val="Calibri"/>
        <family val="2"/>
      </rPr>
      <t>Orafar - DL</t>
    </r>
  </si>
  <si>
    <r>
      <rPr>
        <sz val="11"/>
        <rFont val="Calibri"/>
        <family val="2"/>
      </rPr>
      <t>Nghệ đen sành - LỚN</t>
    </r>
  </si>
  <si>
    <r>
      <rPr>
        <sz val="11"/>
        <rFont val="Calibri"/>
        <family val="2"/>
      </rPr>
      <t>Oresol (H/100 gói)</t>
    </r>
  </si>
  <si>
    <r>
      <rPr>
        <sz val="11"/>
        <rFont val="Calibri"/>
        <family val="2"/>
      </rPr>
      <t>Nghệ đen sành - NHỎ</t>
    </r>
  </si>
  <si>
    <r>
      <rPr>
        <sz val="11"/>
        <rFont val="Calibri"/>
        <family val="2"/>
      </rPr>
      <t>Orezol - cam (H/40 gói)</t>
    </r>
  </si>
  <si>
    <r>
      <rPr>
        <sz val="11"/>
        <rFont val="Calibri"/>
        <family val="2"/>
      </rPr>
      <t>Nghệ sệt LK</t>
    </r>
  </si>
  <si>
    <r>
      <rPr>
        <sz val="11"/>
        <rFont val="Calibri"/>
        <family val="2"/>
      </rPr>
      <t>Orezol gói</t>
    </r>
  </si>
  <si>
    <r>
      <rPr>
        <sz val="11"/>
        <rFont val="Calibri"/>
        <family val="2"/>
      </rPr>
      <t>Nghệ vàng - QM</t>
    </r>
  </si>
  <si>
    <r>
      <rPr>
        <sz val="11"/>
        <rFont val="Calibri"/>
        <family val="2"/>
      </rPr>
      <t>Osla</t>
    </r>
  </si>
  <si>
    <r>
      <rPr>
        <sz val="11"/>
        <rFont val="Calibri"/>
        <family val="2"/>
      </rPr>
      <t>Nghệ vàng LK</t>
    </r>
  </si>
  <si>
    <r>
      <rPr>
        <sz val="11"/>
        <rFont val="Calibri"/>
        <family val="2"/>
      </rPr>
      <t>Otifar - DL</t>
    </r>
  </si>
  <si>
    <r>
      <rPr>
        <sz val="11"/>
        <rFont val="Calibri"/>
        <family val="2"/>
      </rPr>
      <t>Nghệ vàng sành - LỚN</t>
    </r>
  </si>
  <si>
    <r>
      <rPr>
        <sz val="11"/>
        <rFont val="Calibri"/>
        <family val="2"/>
      </rPr>
      <t>Otilin 0.1%</t>
    </r>
  </si>
  <si>
    <r>
      <rPr>
        <sz val="11"/>
        <rFont val="Calibri"/>
        <family val="2"/>
      </rPr>
      <t>Nghệ vàng sành - NHỎ</t>
    </r>
  </si>
  <si>
    <r>
      <rPr>
        <sz val="11"/>
        <rFont val="Calibri"/>
        <family val="2"/>
      </rPr>
      <t>Otilin nhỏ</t>
    </r>
  </si>
  <si>
    <r>
      <rPr>
        <sz val="11"/>
        <rFont val="Calibri"/>
        <family val="2"/>
      </rPr>
      <t>Nguyên xuân   (dây)</t>
    </r>
  </si>
  <si>
    <r>
      <rPr>
        <sz val="11"/>
        <rFont val="Calibri"/>
        <family val="2"/>
      </rPr>
      <t>Oxy - VP</t>
    </r>
  </si>
  <si>
    <r>
      <rPr>
        <sz val="11"/>
        <rFont val="Calibri"/>
        <family val="2"/>
      </rPr>
      <t>Nguyên Xuân -vàng</t>
    </r>
  </si>
  <si>
    <r>
      <rPr>
        <sz val="11"/>
        <rFont val="Calibri"/>
        <family val="2"/>
      </rPr>
      <t>Oxy (OPC)</t>
    </r>
  </si>
  <si>
    <r>
      <rPr>
        <sz val="11"/>
        <rFont val="Calibri"/>
        <family val="2"/>
      </rPr>
      <t>Nguyên xuân xanh đậm</t>
    </r>
  </si>
  <si>
    <r>
      <rPr>
        <sz val="11"/>
        <rFont val="Calibri"/>
        <family val="2"/>
      </rPr>
      <t>Pabemin (gói) MẪU MỚI</t>
    </r>
  </si>
  <si>
    <r>
      <rPr>
        <sz val="11"/>
        <rFont val="Calibri"/>
        <family val="2"/>
      </rPr>
      <t>Nhiệt Điện tử</t>
    </r>
  </si>
  <si>
    <r>
      <rPr>
        <sz val="11"/>
        <rFont val="Calibri"/>
        <family val="2"/>
      </rPr>
      <t>Pacegagan    ủi HASAN -Hộp 100v</t>
    </r>
  </si>
  <si>
    <r>
      <rPr>
        <sz val="11"/>
        <rFont val="Calibri"/>
        <family val="2"/>
      </rPr>
      <t>Hộp l</t>
    </r>
  </si>
  <si>
    <r>
      <rPr>
        <sz val="11"/>
        <rFont val="Calibri"/>
        <family val="2"/>
      </rPr>
      <t>Nhiệt miệng PV</t>
    </r>
  </si>
  <si>
    <r>
      <rPr>
        <sz val="11"/>
        <rFont val="Calibri"/>
        <family val="2"/>
      </rPr>
      <t>PANACTOL EX -Khánh Hòa</t>
    </r>
  </si>
  <si>
    <r>
      <rPr>
        <sz val="11"/>
        <rFont val="Calibri"/>
        <family val="2"/>
      </rPr>
      <t>Nhiệt thủy NGÂN</t>
    </r>
  </si>
  <si>
    <r>
      <rPr>
        <sz val="11"/>
        <rFont val="Calibri"/>
        <family val="2"/>
      </rPr>
      <t>Panadol EX ( Ngoại )</t>
    </r>
  </si>
  <si>
    <r>
      <rPr>
        <sz val="11"/>
        <rFont val="Calibri"/>
        <family val="2"/>
      </rPr>
      <t>Nhũ Đan</t>
    </r>
  </si>
  <si>
    <r>
      <rPr>
        <sz val="11"/>
        <rFont val="Calibri"/>
        <family val="2"/>
      </rPr>
      <t>Panadol xanh -Ngoại</t>
    </r>
  </si>
  <si>
    <r>
      <rPr>
        <sz val="11"/>
        <rFont val="Calibri"/>
        <family val="2"/>
      </rPr>
      <t>Niệu Bảo</t>
    </r>
  </si>
  <si>
    <r>
      <rPr>
        <sz val="11"/>
        <rFont val="Calibri"/>
        <family val="2"/>
      </rPr>
      <t>Pannactol 650 chai 1000v</t>
    </r>
  </si>
  <si>
    <r>
      <rPr>
        <sz val="11"/>
        <rFont val="Calibri"/>
        <family val="2"/>
      </rPr>
      <t>Nife 20 hasan</t>
    </r>
  </si>
  <si>
    <r>
      <rPr>
        <sz val="11"/>
        <rFont val="Calibri"/>
        <family val="2"/>
      </rPr>
      <t>Pantorazol 40mg TV</t>
    </r>
  </si>
  <si>
    <r>
      <rPr>
        <sz val="11"/>
        <rFont val="Calibri"/>
        <family val="2"/>
      </rPr>
      <t>Nife 20 Stda</t>
    </r>
  </si>
  <si>
    <r>
      <rPr>
        <sz val="11"/>
        <rFont val="Calibri"/>
        <family val="2"/>
      </rPr>
      <t>Para 500 (cáp) (H/200v) MK</t>
    </r>
  </si>
  <si>
    <r>
      <rPr>
        <sz val="11"/>
        <rFont val="Calibri"/>
        <family val="2"/>
      </rPr>
      <t>Nife10  TW1</t>
    </r>
  </si>
  <si>
    <r>
      <rPr>
        <sz val="11"/>
        <rFont val="Calibri"/>
        <family val="2"/>
      </rPr>
      <t>Para 500 (dài nén) (H/200v) MK</t>
    </r>
  </si>
  <si>
    <r>
      <rPr>
        <sz val="11"/>
        <rFont val="Calibri"/>
        <family val="2"/>
      </rPr>
      <t>Noatamin (H/80v) VDP</t>
    </r>
  </si>
  <si>
    <r>
      <rPr>
        <sz val="11"/>
        <rFont val="Calibri"/>
        <family val="2"/>
      </rPr>
      <t>Para 500 (tròn) (H/200v) MK</t>
    </r>
  </si>
  <si>
    <r>
      <rPr>
        <sz val="11"/>
        <rFont val="Calibri"/>
        <family val="2"/>
      </rPr>
      <t>Nóng gừng lớn - T.D</t>
    </r>
  </si>
  <si>
    <r>
      <rPr>
        <sz val="11"/>
        <rFont val="Calibri"/>
        <family val="2"/>
      </rPr>
      <t>PARACETAMOL 500mg  -Cap QUÃNG</t>
    </r>
  </si>
  <si>
    <r>
      <rPr>
        <sz val="11"/>
        <rFont val="Calibri"/>
        <family val="2"/>
      </rPr>
      <t>Nóng mặt trời (H/6c)</t>
    </r>
  </si>
  <si>
    <r>
      <rPr>
        <sz val="11"/>
        <rFont val="Calibri"/>
        <family val="2"/>
      </rPr>
      <t>PARACETAMOL 500mg PV (Nén C500</t>
    </r>
  </si>
  <si>
    <r>
      <rPr>
        <sz val="11"/>
        <rFont val="Calibri"/>
        <family val="2"/>
      </rPr>
      <t>Nóng TS (H/10c)</t>
    </r>
  </si>
  <si>
    <r>
      <rPr>
        <sz val="11"/>
        <rFont val="Calibri"/>
        <family val="2"/>
      </rPr>
      <t>PARACETAMOL Q4 (H/100v)</t>
    </r>
  </si>
  <si>
    <r>
      <rPr>
        <sz val="11"/>
        <rFont val="Calibri"/>
        <family val="2"/>
      </rPr>
      <t>Nóng TT (H/12c) lớn</t>
    </r>
  </si>
  <si>
    <r>
      <rPr>
        <sz val="11"/>
        <rFont val="Calibri"/>
        <family val="2"/>
      </rPr>
      <t>Paracetamol SỦI MEKOFA</t>
    </r>
  </si>
  <si>
    <r>
      <rPr>
        <sz val="11"/>
        <rFont val="Calibri"/>
        <family val="2"/>
      </rPr>
      <t>Normo - lớn (H/40v) OPC</t>
    </r>
  </si>
  <si>
    <r>
      <rPr>
        <sz val="11"/>
        <rFont val="Calibri"/>
        <family val="2"/>
      </rPr>
      <t>Paracetamol Sủi -SAVI</t>
    </r>
  </si>
  <si>
    <r>
      <rPr>
        <sz val="11"/>
        <rFont val="Calibri"/>
        <family val="2"/>
      </rPr>
      <t>Novazin TV</t>
    </r>
  </si>
  <si>
    <r>
      <rPr>
        <sz val="11"/>
        <rFont val="Calibri"/>
        <family val="2"/>
      </rPr>
      <t>PARAMAX EX</t>
    </r>
  </si>
  <si>
    <r>
      <rPr>
        <sz val="11"/>
        <rFont val="Calibri"/>
        <family val="2"/>
      </rPr>
      <t>Novo 0.75 (H/20gói) MK</t>
    </r>
  </si>
  <si>
    <r>
      <rPr>
        <sz val="11"/>
        <rFont val="Calibri"/>
        <family val="2"/>
      </rPr>
      <t>Paramax SỦI 500-Boston</t>
    </r>
  </si>
  <si>
    <r>
      <rPr>
        <sz val="11"/>
        <rFont val="Calibri"/>
        <family val="2"/>
      </rPr>
      <t>Novo 1.5 (H/16v) MK</t>
    </r>
  </si>
  <si>
    <r>
      <rPr>
        <sz val="11"/>
        <rFont val="Calibri"/>
        <family val="2"/>
      </rPr>
      <t>Pastuss (h/50v) - MK</t>
    </r>
  </si>
  <si>
    <r>
      <rPr>
        <sz val="11"/>
        <rFont val="Calibri"/>
        <family val="2"/>
      </rPr>
      <t>Novo 3 (H/10v) MK</t>
    </r>
  </si>
  <si>
    <r>
      <rPr>
        <sz val="11"/>
        <rFont val="Calibri"/>
        <family val="2"/>
      </rPr>
      <t>Pecaldex 10 &gt; (H/10 ống)</t>
    </r>
  </si>
  <si>
    <r>
      <rPr>
        <sz val="11"/>
        <rFont val="Calibri"/>
        <family val="2"/>
      </rPr>
      <t>Nữ vương</t>
    </r>
  </si>
  <si>
    <r>
      <rPr>
        <sz val="11"/>
        <rFont val="Calibri"/>
        <family val="2"/>
      </rPr>
      <t>Pecaldex nhỏ &lt; (H/18 ống)</t>
    </r>
  </si>
  <si>
    <r>
      <rPr>
        <sz val="11"/>
        <rFont val="Calibri"/>
        <family val="2"/>
      </rPr>
      <t>Nước muối VP</t>
    </r>
  </si>
  <si>
    <r>
      <rPr>
        <sz val="11"/>
        <rFont val="Calibri"/>
        <family val="2"/>
      </rPr>
      <t>Pectol - siro</t>
    </r>
  </si>
  <si>
    <r>
      <rPr>
        <sz val="11"/>
        <rFont val="Calibri"/>
        <family val="2"/>
      </rPr>
      <t>Nước muối VP - THÙNG</t>
    </r>
  </si>
  <si>
    <r>
      <rPr>
        <sz val="11"/>
        <rFont val="Calibri"/>
        <family val="2"/>
      </rPr>
      <t>Thùng</t>
    </r>
  </si>
  <si>
    <r>
      <rPr>
        <sz val="11"/>
        <rFont val="Calibri"/>
        <family val="2"/>
      </rPr>
      <t>Pectol - viên</t>
    </r>
  </si>
  <si>
    <r>
      <rPr>
        <sz val="11"/>
        <rFont val="Calibri"/>
        <family val="2"/>
      </rPr>
      <t>Nutromplex VN ( 6/2021)</t>
    </r>
  </si>
  <si>
    <r>
      <rPr>
        <sz val="11"/>
        <rFont val="Calibri"/>
        <family val="2"/>
      </rPr>
      <t>Pediasure</t>
    </r>
  </si>
  <si>
    <r>
      <rPr>
        <sz val="11"/>
        <rFont val="Calibri"/>
        <family val="2"/>
      </rPr>
      <t>Nyst - gói (H/10 gói)</t>
    </r>
  </si>
  <si>
    <r>
      <rPr>
        <sz val="11"/>
        <rFont val="Calibri"/>
        <family val="2"/>
      </rPr>
      <t>Penni 1G (chích)</t>
    </r>
  </si>
  <si>
    <r>
      <rPr>
        <sz val="11"/>
        <rFont val="Calibri"/>
        <family val="2"/>
      </rPr>
      <t>Nyst - viên MKF</t>
    </r>
  </si>
  <si>
    <r>
      <rPr>
        <sz val="11"/>
        <rFont val="Calibri"/>
        <family val="2"/>
      </rPr>
      <t>Penni 1M</t>
    </r>
  </si>
  <si>
    <r>
      <rPr>
        <sz val="11"/>
        <rFont val="Calibri"/>
        <family val="2"/>
      </rPr>
      <t>Nystatin Đặt ( pv)</t>
    </r>
  </si>
  <si>
    <r>
      <rPr>
        <sz val="11"/>
        <rFont val="Calibri"/>
        <family val="2"/>
      </rPr>
      <t>Penni 4.IU (cam)</t>
    </r>
  </si>
  <si>
    <r>
      <rPr>
        <sz val="11"/>
        <rFont val="Calibri"/>
        <family val="2"/>
      </rPr>
      <t>OF 625 - DMC -1/2024</t>
    </r>
  </si>
  <si>
    <r>
      <rPr>
        <sz val="11"/>
        <rFont val="Calibri"/>
        <family val="2"/>
      </rPr>
      <t>Phaanedol - NHỎ</t>
    </r>
  </si>
  <si>
    <r>
      <rPr>
        <sz val="11"/>
        <rFont val="Calibri"/>
        <family val="2"/>
      </rPr>
      <t>Oflox - tai DL</t>
    </r>
  </si>
  <si>
    <r>
      <rPr>
        <sz val="11"/>
        <rFont val="Calibri"/>
        <family val="2"/>
      </rPr>
      <t>Phaanedol đỏ NIC &gt;</t>
    </r>
  </si>
  <si>
    <r>
      <rPr>
        <sz val="11"/>
        <rFont val="Calibri"/>
        <family val="2"/>
      </rPr>
      <t>Oflox mắt -DL</t>
    </r>
  </si>
  <si>
    <r>
      <rPr>
        <sz val="11"/>
        <rFont val="Calibri"/>
        <family val="2"/>
      </rPr>
      <t>PHAANNADOL XANH PV</t>
    </r>
  </si>
  <si>
    <r>
      <rPr>
        <sz val="11"/>
        <color rgb="FFFF0000"/>
        <rFont val="Calibri"/>
        <family val="2"/>
      </rPr>
      <t>Ofmantin 250 gói DMC</t>
    </r>
  </si>
  <si>
    <r>
      <rPr>
        <sz val="11"/>
        <color rgb="FFFF0000"/>
        <rFont val="Calibri"/>
        <family val="2"/>
      </rPr>
      <t>PHAAZANDOL EXTRA -PV</t>
    </r>
  </si>
  <si>
    <r>
      <rPr>
        <sz val="11"/>
        <rFont val="Calibri"/>
        <family val="2"/>
      </rPr>
      <t>Phấn kiến</t>
    </r>
  </si>
  <si>
    <r>
      <rPr>
        <sz val="11"/>
        <rFont val="Calibri"/>
        <family val="2"/>
      </rPr>
      <t>PREMILIN 75mg HS</t>
    </r>
  </si>
  <si>
    <r>
      <rPr>
        <sz val="11"/>
        <rFont val="Calibri"/>
        <family val="2"/>
      </rPr>
      <t>Phấn Rosa - lớn 80gr</t>
    </r>
  </si>
  <si>
    <r>
      <rPr>
        <sz val="11"/>
        <rFont val="Calibri"/>
        <family val="2"/>
      </rPr>
      <t>Presnisolon 5mg( H-40 V)  - Nam ha</t>
    </r>
  </si>
  <si>
    <r>
      <rPr>
        <sz val="11"/>
        <rFont val="Calibri"/>
        <family val="2"/>
      </rPr>
      <t>Phấn Rosa - nhỏ 50gr</t>
    </r>
  </si>
  <si>
    <r>
      <rPr>
        <sz val="11"/>
        <rFont val="Calibri"/>
        <family val="2"/>
      </rPr>
      <t>Primperan 10 mg Q4</t>
    </r>
  </si>
  <si>
    <r>
      <rPr>
        <sz val="11"/>
        <rFont val="Calibri"/>
        <family val="2"/>
      </rPr>
      <t>Phanadol CC PV</t>
    </r>
  </si>
  <si>
    <r>
      <rPr>
        <sz val="11"/>
        <rFont val="Calibri"/>
        <family val="2"/>
      </rPr>
      <t>Probio</t>
    </r>
  </si>
  <si>
    <r>
      <rPr>
        <sz val="11"/>
        <rFont val="Calibri"/>
        <family val="2"/>
      </rPr>
      <t>Phar NIC (H/60V)</t>
    </r>
  </si>
  <si>
    <r>
      <rPr>
        <sz val="11"/>
        <rFont val="Calibri"/>
        <family val="2"/>
      </rPr>
      <t>Profino Minh Hải</t>
    </r>
  </si>
  <si>
    <r>
      <rPr>
        <sz val="11"/>
        <rFont val="Calibri"/>
        <family val="2"/>
      </rPr>
      <t>Pharmatone -SANOFI</t>
    </r>
  </si>
  <si>
    <r>
      <rPr>
        <sz val="11"/>
        <rFont val="Calibri"/>
        <family val="2"/>
      </rPr>
      <t>Promethazin (C/40v)</t>
    </r>
  </si>
  <si>
    <r>
      <rPr>
        <sz val="11"/>
        <rFont val="Calibri"/>
        <family val="2"/>
      </rPr>
      <t>Pharvita plus</t>
    </r>
  </si>
  <si>
    <r>
      <rPr>
        <sz val="11"/>
        <rFont val="Calibri"/>
        <family val="2"/>
      </rPr>
      <t>Prospan FORT</t>
    </r>
  </si>
  <si>
    <r>
      <rPr>
        <sz val="11"/>
        <rFont val="Calibri"/>
        <family val="2"/>
      </rPr>
      <t>Pharvita plus Lọ</t>
    </r>
  </si>
  <si>
    <r>
      <rPr>
        <sz val="11"/>
        <rFont val="Calibri"/>
        <family val="2"/>
      </rPr>
      <t>Prospan Siro</t>
    </r>
  </si>
  <si>
    <r>
      <rPr>
        <sz val="11"/>
        <rFont val="Calibri"/>
        <family val="2"/>
      </rPr>
      <t>Phenergan PM</t>
    </r>
  </si>
  <si>
    <r>
      <rPr>
        <sz val="11"/>
        <rFont val="Calibri"/>
        <family val="2"/>
      </rPr>
      <t>Protamol 525 - MK</t>
    </r>
  </si>
  <si>
    <r>
      <rPr>
        <sz val="11"/>
        <rFont val="Calibri"/>
        <family val="2"/>
      </rPr>
      <t>Philatop</t>
    </r>
  </si>
  <si>
    <r>
      <rPr>
        <sz val="11"/>
        <rFont val="Calibri"/>
        <family val="2"/>
      </rPr>
      <t>Que</t>
    </r>
  </si>
  <si>
    <r>
      <rPr>
        <sz val="11"/>
        <rFont val="Calibri"/>
        <family val="2"/>
      </rPr>
      <t>Phong tê thấp PV</t>
    </r>
  </si>
  <si>
    <r>
      <rPr>
        <sz val="11"/>
        <rFont val="Calibri"/>
        <family val="2"/>
      </rPr>
      <t>Qúi phi  -TD</t>
    </r>
  </si>
  <si>
    <r>
      <rPr>
        <sz val="11"/>
        <rFont val="Calibri"/>
        <family val="2"/>
      </rPr>
      <t>Phospha BĐ</t>
    </r>
  </si>
  <si>
    <r>
      <rPr>
        <sz val="11"/>
        <rFont val="Calibri"/>
        <family val="2"/>
      </rPr>
      <t>Quincef 125 (H/10 gói)  MK</t>
    </r>
  </si>
  <si>
    <r>
      <rPr>
        <sz val="11"/>
        <rFont val="Calibri"/>
        <family val="2"/>
      </rPr>
      <t>Phospha ngoại</t>
    </r>
  </si>
  <si>
    <r>
      <rPr>
        <sz val="11"/>
        <rFont val="Calibri"/>
        <family val="2"/>
      </rPr>
      <t>Ranitidin 300 PMD</t>
    </r>
  </si>
  <si>
    <r>
      <rPr>
        <sz val="11"/>
        <rFont val="Calibri"/>
        <family val="2"/>
      </rPr>
      <t>Phụ bì khang (H/30v)</t>
    </r>
  </si>
  <si>
    <r>
      <rPr>
        <sz val="11"/>
        <rFont val="Calibri"/>
        <family val="2"/>
      </rPr>
      <t>REC lớn 5ml</t>
    </r>
  </si>
  <si>
    <r>
      <rPr>
        <sz val="11"/>
        <rFont val="Calibri"/>
        <family val="2"/>
      </rPr>
      <t>Phytilax (H/30v)</t>
    </r>
  </si>
  <si>
    <r>
      <rPr>
        <sz val="11"/>
        <rFont val="Calibri"/>
        <family val="2"/>
      </rPr>
      <t>REC nhỏ 3ml</t>
    </r>
  </si>
  <si>
    <r>
      <rPr>
        <sz val="11"/>
        <rFont val="Calibri"/>
        <family val="2"/>
      </rPr>
      <t>Phyto-bebe (lớn) &gt; 250ml</t>
    </r>
  </si>
  <si>
    <r>
      <rPr>
        <sz val="11"/>
        <rFont val="Calibri"/>
        <family val="2"/>
      </rPr>
      <t>Rhinex</t>
    </r>
  </si>
  <si>
    <r>
      <rPr>
        <sz val="11"/>
        <rFont val="Calibri"/>
        <family val="2"/>
      </rPr>
      <t>Phyto-bebe &lt; 100ml</t>
    </r>
  </si>
  <si>
    <r>
      <rPr>
        <sz val="11"/>
        <rFont val="Calibri"/>
        <family val="2"/>
      </rPr>
      <t>Rifa 300 - MK</t>
    </r>
  </si>
  <si>
    <r>
      <rPr>
        <sz val="11"/>
        <rFont val="Calibri"/>
        <family val="2"/>
      </rPr>
      <t>Phytogyno &lt; 100ml</t>
    </r>
  </si>
  <si>
    <r>
      <rPr>
        <sz val="11"/>
        <rFont val="Calibri"/>
        <family val="2"/>
      </rPr>
      <t>Rơ lưỡi</t>
    </r>
  </si>
  <si>
    <r>
      <rPr>
        <sz val="11"/>
        <rFont val="Calibri"/>
        <family val="2"/>
      </rPr>
      <t>Phytogyno LỚN</t>
    </r>
  </si>
  <si>
    <r>
      <rPr>
        <sz val="11"/>
        <rFont val="Calibri"/>
        <family val="2"/>
      </rPr>
      <t>Rôbô - MK</t>
    </r>
  </si>
  <si>
    <r>
      <rPr>
        <sz val="11"/>
        <rFont val="Calibri"/>
        <family val="2"/>
      </rPr>
      <t>Pira 400 TPC</t>
    </r>
  </si>
  <si>
    <r>
      <rPr>
        <sz val="11"/>
        <rFont val="Calibri"/>
        <family val="2"/>
      </rPr>
      <t>Rocket - 1H</t>
    </r>
  </si>
  <si>
    <r>
      <rPr>
        <sz val="11"/>
        <rFont val="Calibri"/>
        <family val="2"/>
      </rPr>
      <t>Piracetam 800mg MKF</t>
    </r>
  </si>
  <si>
    <r>
      <rPr>
        <sz val="11"/>
        <rFont val="Calibri"/>
        <family val="2"/>
      </rPr>
      <t>Rocket - lớn</t>
    </r>
  </si>
  <si>
    <r>
      <rPr>
        <sz val="11"/>
        <rFont val="Calibri"/>
        <family val="2"/>
      </rPr>
      <t>Piro 10 (Q4)</t>
    </r>
  </si>
  <si>
    <r>
      <rPr>
        <sz val="11"/>
        <rFont val="Calibri"/>
        <family val="2"/>
      </rPr>
      <t>Rocket - nhỏ</t>
    </r>
  </si>
  <si>
    <r>
      <rPr>
        <sz val="11"/>
        <rFont val="Calibri"/>
        <family val="2"/>
      </rPr>
      <t>Piro max - TV</t>
    </r>
  </si>
  <si>
    <r>
      <rPr>
        <sz val="11"/>
        <rFont val="Calibri"/>
        <family val="2"/>
      </rPr>
      <t>Rodilax - MK</t>
    </r>
  </si>
  <si>
    <r>
      <rPr>
        <sz val="11"/>
        <rFont val="Calibri"/>
        <family val="2"/>
      </rPr>
      <t>Piroxicam 20mg ( c/nen ) MKF</t>
    </r>
  </si>
  <si>
    <r>
      <rPr>
        <sz val="11"/>
        <rFont val="Calibri"/>
        <family val="2"/>
      </rPr>
      <t>Rotunda</t>
    </r>
  </si>
  <si>
    <r>
      <rPr>
        <sz val="11"/>
        <rFont val="Calibri"/>
        <family val="2"/>
      </rPr>
      <t>Piroxicam 20mg KH</t>
    </r>
  </si>
  <si>
    <r>
      <rPr>
        <sz val="11"/>
        <rFont val="Calibri"/>
        <family val="2"/>
      </rPr>
      <t>Rotundin 30</t>
    </r>
  </si>
  <si>
    <r>
      <rPr>
        <sz val="11"/>
        <rFont val="Calibri"/>
        <family val="2"/>
      </rPr>
      <t>Pluss tốt</t>
    </r>
  </si>
  <si>
    <r>
      <rPr>
        <sz val="11"/>
        <rFont val="Calibri"/>
        <family val="2"/>
      </rPr>
      <t>Rovas 1.5</t>
    </r>
  </si>
  <si>
    <r>
      <rPr>
        <sz val="11"/>
        <rFont val="Calibri"/>
        <family val="2"/>
      </rPr>
      <t>Pola 2 (H/30v) ĐN</t>
    </r>
  </si>
  <si>
    <r>
      <rPr>
        <sz val="11"/>
        <rFont val="Calibri"/>
        <family val="2"/>
      </rPr>
      <t>Rovas 3.0</t>
    </r>
  </si>
  <si>
    <r>
      <rPr>
        <sz val="11"/>
        <rFont val="Calibri"/>
        <family val="2"/>
      </rPr>
      <t>Pola 2 (H/30v) MK</t>
    </r>
  </si>
  <si>
    <r>
      <rPr>
        <sz val="11"/>
        <rFont val="Calibri"/>
        <family val="2"/>
      </rPr>
      <t>Roxi 150 (H/100v) MK</t>
    </r>
  </si>
  <si>
    <r>
      <rPr>
        <sz val="11"/>
        <rFont val="Calibri"/>
        <family val="2"/>
      </rPr>
      <t>Pola 6 (H/30v)</t>
    </r>
  </si>
  <si>
    <r>
      <rPr>
        <sz val="11"/>
        <rFont val="Calibri"/>
        <family val="2"/>
      </rPr>
      <t>Rutin - C rẻ</t>
    </r>
  </si>
  <si>
    <r>
      <rPr>
        <sz val="11"/>
        <rFont val="Calibri"/>
        <family val="2"/>
      </rPr>
      <t>Polydeson - VDP</t>
    </r>
  </si>
  <si>
    <r>
      <rPr>
        <sz val="11"/>
        <rFont val="Calibri"/>
        <family val="2"/>
      </rPr>
      <t>Rutin C - MK</t>
    </r>
  </si>
  <si>
    <r>
      <rPr>
        <sz val="11"/>
        <rFont val="Calibri"/>
        <family val="2"/>
      </rPr>
      <t>Polymax</t>
    </r>
  </si>
  <si>
    <r>
      <rPr>
        <sz val="11"/>
        <rFont val="Calibri"/>
        <family val="2"/>
      </rPr>
      <t>S.N.khang-kem (nhỏ)</t>
    </r>
  </si>
  <si>
    <r>
      <rPr>
        <sz val="11"/>
        <rFont val="Calibri"/>
        <family val="2"/>
      </rPr>
      <t>Poncitl chai - MK</t>
    </r>
  </si>
  <si>
    <r>
      <rPr>
        <sz val="11"/>
        <rFont val="Calibri"/>
        <family val="2"/>
      </rPr>
      <t>Sắc ngọc khang</t>
    </r>
  </si>
  <si>
    <r>
      <rPr>
        <sz val="11"/>
        <rFont val="Calibri"/>
        <family val="2"/>
      </rPr>
      <t>Poncitl vĩ - MK</t>
    </r>
  </si>
  <si>
    <r>
      <rPr>
        <sz val="11"/>
        <rFont val="Calibri"/>
        <family val="2"/>
      </rPr>
      <t>Sakura (H/6 miếng)</t>
    </r>
  </si>
  <si>
    <r>
      <rPr>
        <sz val="11"/>
        <rFont val="Calibri"/>
        <family val="2"/>
      </rPr>
      <t>Pos 1v QM</t>
    </r>
  </si>
  <si>
    <r>
      <rPr>
        <sz val="11"/>
        <rFont val="Calibri"/>
        <family val="2"/>
      </rPr>
      <t>Salonpas -20M*10</t>
    </r>
  </si>
  <si>
    <r>
      <rPr>
        <sz val="11"/>
        <rFont val="Calibri"/>
        <family val="2"/>
      </rPr>
      <t>Postinor 1v -Ngoại</t>
    </r>
  </si>
  <si>
    <r>
      <rPr>
        <sz val="11"/>
        <rFont val="Calibri"/>
        <family val="2"/>
      </rPr>
      <t>Salonpas Gel</t>
    </r>
  </si>
  <si>
    <r>
      <rPr>
        <sz val="11"/>
        <rFont val="Calibri"/>
        <family val="2"/>
      </rPr>
      <t>Povidin - gạc (H/10 miếng)</t>
    </r>
  </si>
  <si>
    <r>
      <rPr>
        <sz val="11"/>
        <rFont val="Calibri"/>
        <family val="2"/>
      </rPr>
      <t>Salonship</t>
    </r>
  </si>
  <si>
    <r>
      <rPr>
        <sz val="11"/>
        <rFont val="Calibri"/>
        <family val="2"/>
      </rPr>
      <t>Povidin 20</t>
    </r>
  </si>
  <si>
    <r>
      <rPr>
        <sz val="11"/>
        <rFont val="Calibri"/>
        <family val="2"/>
      </rPr>
      <t>Salyment - MK</t>
    </r>
  </si>
  <si>
    <r>
      <rPr>
        <sz val="11"/>
        <rFont val="Calibri"/>
        <family val="2"/>
      </rPr>
      <t>Povidin 90 ( MẪU MỚI )</t>
    </r>
  </si>
  <si>
    <r>
      <rPr>
        <sz val="11"/>
        <rFont val="Calibri"/>
        <family val="2"/>
      </rPr>
      <t>Salymet - DL-30G</t>
    </r>
  </si>
  <si>
    <r>
      <rPr>
        <sz val="11"/>
        <rFont val="Calibri"/>
        <family val="2"/>
      </rPr>
      <t>Povidin 90 (PK)</t>
    </r>
  </si>
  <si>
    <r>
      <rPr>
        <sz val="11"/>
        <rFont val="Calibri"/>
        <family val="2"/>
      </rPr>
      <t>Sâm Nhung C   ờng Lực -TL</t>
    </r>
  </si>
  <si>
    <r>
      <rPr>
        <sz val="11"/>
        <rFont val="Calibri"/>
        <family val="2"/>
      </rPr>
      <t>Povidin   ốn</t>
    </r>
  </si>
  <si>
    <r>
      <rPr>
        <sz val="11"/>
        <rFont val="Calibri"/>
        <family val="2"/>
      </rPr>
      <t>Sâm TW2 - RẺ</t>
    </r>
  </si>
  <si>
    <r>
      <rPr>
        <sz val="11"/>
        <rFont val="Calibri"/>
        <family val="2"/>
      </rPr>
      <t>Povidine 500ml</t>
    </r>
  </si>
  <si>
    <r>
      <rPr>
        <sz val="11"/>
        <rFont val="Calibri"/>
        <family val="2"/>
      </rPr>
      <t>Sasuka - xua muỗi</t>
    </r>
  </si>
  <si>
    <r>
      <rPr>
        <sz val="11"/>
        <rFont val="Calibri"/>
        <family val="2"/>
      </rPr>
      <t>POVIDONE -QM</t>
    </r>
  </si>
  <si>
    <r>
      <rPr>
        <sz val="11"/>
        <rFont val="Calibri"/>
        <family val="2"/>
      </rPr>
      <t>Sắt - DL (H/80v)</t>
    </r>
  </si>
  <si>
    <r>
      <rPr>
        <sz val="11"/>
        <rFont val="Calibri"/>
        <family val="2"/>
      </rPr>
      <t>PP 500 (C/100)</t>
    </r>
  </si>
  <si>
    <r>
      <rPr>
        <sz val="11"/>
        <rFont val="Calibri"/>
        <family val="2"/>
      </rPr>
      <t>Sắt - PV (H/100v)</t>
    </r>
  </si>
  <si>
    <r>
      <rPr>
        <sz val="11"/>
        <rFont val="Calibri"/>
        <family val="2"/>
      </rPr>
      <t>PP 500 (C/30)</t>
    </r>
  </si>
  <si>
    <r>
      <rPr>
        <sz val="11"/>
        <rFont val="Calibri"/>
        <family val="2"/>
      </rPr>
      <t>Savi prolol 2.5</t>
    </r>
  </si>
  <si>
    <r>
      <rPr>
        <sz val="11"/>
        <rFont val="Calibri"/>
        <family val="2"/>
      </rPr>
      <t>PP 500 (vĩ/nen)</t>
    </r>
  </si>
  <si>
    <r>
      <rPr>
        <sz val="11"/>
        <rFont val="Calibri"/>
        <family val="2"/>
      </rPr>
      <t>Selsun lớn</t>
    </r>
  </si>
  <si>
    <r>
      <rPr>
        <sz val="11"/>
        <rFont val="Calibri"/>
        <family val="2"/>
      </rPr>
      <t>Predni (c/200nen) - Q4</t>
    </r>
  </si>
  <si>
    <r>
      <rPr>
        <sz val="11"/>
        <rFont val="Calibri"/>
        <family val="2"/>
      </rPr>
      <t>Sensacool (Lox/12H)</t>
    </r>
  </si>
  <si>
    <r>
      <rPr>
        <sz val="11"/>
        <rFont val="Calibri"/>
        <family val="2"/>
      </rPr>
      <t>Predni (c/500) - Q4 đủ màu</t>
    </r>
  </si>
  <si>
    <r>
      <rPr>
        <sz val="11"/>
        <rFont val="Calibri"/>
        <family val="2"/>
      </rPr>
      <t>Shema-  Xanh Lớn</t>
    </r>
  </si>
  <si>
    <r>
      <rPr>
        <sz val="11"/>
        <rFont val="Calibri"/>
        <family val="2"/>
      </rPr>
      <t>Predni (c/cap) - Q4</t>
    </r>
  </si>
  <si>
    <r>
      <rPr>
        <sz val="11"/>
        <rFont val="Calibri"/>
        <family val="2"/>
      </rPr>
      <t>Shema (Hồng nhỏ) mẫu mới</t>
    </r>
  </si>
  <si>
    <r>
      <rPr>
        <sz val="11"/>
        <rFont val="Calibri"/>
        <family val="2"/>
      </rPr>
      <t>Predni (c/hồng/100viên)- DMK</t>
    </r>
  </si>
  <si>
    <r>
      <rPr>
        <sz val="11"/>
        <rFont val="Calibri"/>
        <family val="2"/>
      </rPr>
      <t>Shema (Xanh nhỏ) mẫu mới</t>
    </r>
  </si>
  <si>
    <r>
      <rPr>
        <sz val="11"/>
        <rFont val="Calibri"/>
        <family val="2"/>
      </rPr>
      <t>Predni ngọt</t>
    </r>
  </si>
  <si>
    <r>
      <rPr>
        <sz val="11"/>
        <rFont val="Calibri"/>
        <family val="2"/>
      </rPr>
      <t>Shema -Hồng Lớn</t>
    </r>
  </si>
  <si>
    <r>
      <rPr>
        <sz val="11"/>
        <rFont val="Calibri"/>
        <family val="2"/>
      </rPr>
      <t>Predni vỉ - DL</t>
    </r>
  </si>
  <si>
    <r>
      <rPr>
        <sz val="11"/>
        <rFont val="Calibri"/>
        <family val="2"/>
      </rPr>
      <t>Shining (Súc miệng)</t>
    </r>
  </si>
  <si>
    <r>
      <rPr>
        <sz val="11"/>
        <color rgb="FFFF0000"/>
        <rFont val="Calibri"/>
        <family val="2"/>
      </rPr>
      <t>Predni vĩ- DMK</t>
    </r>
  </si>
  <si>
    <r>
      <rPr>
        <sz val="11"/>
        <color rgb="FFFF0000"/>
        <rFont val="Calibri"/>
        <family val="2"/>
      </rPr>
      <t>Silkron HQ</t>
    </r>
  </si>
  <si>
    <r>
      <rPr>
        <b/>
        <sz val="12"/>
        <color rgb="FFFF0000"/>
        <rFont val="Arial Narrow"/>
        <family val="2"/>
      </rPr>
      <t>ZALO: 0938 305 325 - 0909 23 99 10 - 0906 73 47 77                                                                    Tel: 3868 4225 - 3868 4469</t>
    </r>
  </si>
  <si>
    <r>
      <rPr>
        <sz val="11"/>
        <rFont val="Calibri"/>
        <family val="2"/>
      </rPr>
      <t>Simelox (H/10 gói)</t>
    </r>
  </si>
  <si>
    <r>
      <rPr>
        <sz val="11"/>
        <rFont val="Calibri"/>
        <family val="2"/>
      </rPr>
      <t>Tam Thất Xạ Đen -HVQY</t>
    </r>
  </si>
  <si>
    <r>
      <rPr>
        <sz val="11"/>
        <rFont val="Calibri"/>
        <family val="2"/>
      </rPr>
      <t>Simvast 20 (H/14v) DMK</t>
    </r>
  </si>
  <si>
    <r>
      <rPr>
        <sz val="11"/>
        <rFont val="Calibri"/>
        <family val="2"/>
      </rPr>
      <t>Tan sỏi hoàn 6/2023</t>
    </r>
  </si>
  <si>
    <r>
      <rPr>
        <sz val="11"/>
        <rFont val="Calibri"/>
        <family val="2"/>
      </rPr>
      <t>Siro Ong vàng</t>
    </r>
  </si>
  <si>
    <r>
      <rPr>
        <sz val="11"/>
        <rFont val="Calibri"/>
        <family val="2"/>
      </rPr>
      <t>Tanakan -Ngoại</t>
    </r>
  </si>
  <si>
    <r>
      <rPr>
        <sz val="11"/>
        <rFont val="Calibri"/>
        <family val="2"/>
      </rPr>
      <t>Skinbibi</t>
    </r>
  </si>
  <si>
    <r>
      <rPr>
        <sz val="11"/>
        <rFont val="Calibri"/>
        <family val="2"/>
      </rPr>
      <t>Tanganil 500 - KH (H/20v)</t>
    </r>
  </si>
  <si>
    <r>
      <rPr>
        <sz val="11"/>
        <rFont val="Calibri"/>
        <family val="2"/>
      </rPr>
      <t>Slaska siro -XA</t>
    </r>
  </si>
  <si>
    <r>
      <rPr>
        <sz val="11"/>
        <rFont val="Calibri"/>
        <family val="2"/>
      </rPr>
      <t>Tanganil An Thiên H50v</t>
    </r>
  </si>
  <si>
    <r>
      <rPr>
        <sz val="11"/>
        <rFont val="Calibri"/>
        <family val="2"/>
      </rPr>
      <t>Smecta -Nam Ha (H/30 gói)</t>
    </r>
  </si>
  <si>
    <r>
      <rPr>
        <sz val="11"/>
        <rFont val="Calibri"/>
        <family val="2"/>
      </rPr>
      <t>Tanganil -Quận 4</t>
    </r>
  </si>
  <si>
    <r>
      <rPr>
        <sz val="11"/>
        <rFont val="Calibri"/>
        <family val="2"/>
      </rPr>
      <t>SOC - MK (C/30v)</t>
    </r>
  </si>
  <si>
    <r>
      <rPr>
        <sz val="11"/>
        <rFont val="Calibri"/>
        <family val="2"/>
      </rPr>
      <t>Tataca -Giun phú yên</t>
    </r>
  </si>
  <si>
    <r>
      <rPr>
        <sz val="11"/>
        <rFont val="Calibri"/>
        <family val="2"/>
      </rPr>
      <t>SOC (hộp/24c) - MK</t>
    </r>
  </si>
  <si>
    <r>
      <rPr>
        <sz val="11"/>
        <rFont val="Calibri"/>
        <family val="2"/>
      </rPr>
      <t>Tatanol 500 phú yên</t>
    </r>
  </si>
  <si>
    <r>
      <rPr>
        <sz val="11"/>
        <rFont val="Calibri"/>
        <family val="2"/>
      </rPr>
      <t>SOC (không C) (C/20v) MK</t>
    </r>
  </si>
  <si>
    <r>
      <rPr>
        <sz val="11"/>
        <rFont val="Calibri"/>
        <family val="2"/>
      </rPr>
      <t>TÂY THI viên (H/10 gói)</t>
    </r>
  </si>
  <si>
    <r>
      <rPr>
        <sz val="11"/>
        <rFont val="Calibri"/>
        <family val="2"/>
      </rPr>
      <t>Soffai - QM</t>
    </r>
  </si>
  <si>
    <r>
      <rPr>
        <sz val="11"/>
        <rFont val="Calibri"/>
        <family val="2"/>
      </rPr>
      <t>TÂY THI viên lớ</t>
    </r>
  </si>
  <si>
    <r>
      <rPr>
        <sz val="11"/>
        <rFont val="Calibri"/>
        <family val="2"/>
      </rPr>
      <t>Soffel Cam Hương Thủy</t>
    </r>
  </si>
  <si>
    <r>
      <rPr>
        <sz val="11"/>
        <rFont val="Calibri"/>
        <family val="2"/>
      </rPr>
      <t>TĐ Bảo Khang</t>
    </r>
  </si>
  <si>
    <r>
      <rPr>
        <sz val="11"/>
        <rFont val="Calibri"/>
        <family val="2"/>
      </rPr>
      <t>Soffel Hồng Hương Thủy</t>
    </r>
  </si>
  <si>
    <r>
      <rPr>
        <sz val="11"/>
        <rFont val="Calibri"/>
        <family val="2"/>
      </rPr>
      <t>Tê Bại Hoàn</t>
    </r>
  </si>
  <si>
    <r>
      <rPr>
        <sz val="11"/>
        <rFont val="Calibri"/>
        <family val="2"/>
      </rPr>
      <t>Song long vị tố</t>
    </r>
  </si>
  <si>
    <r>
      <rPr>
        <sz val="11"/>
        <rFont val="Calibri"/>
        <family val="2"/>
      </rPr>
      <t>Tê nhức BN (H/30v)</t>
    </r>
  </si>
  <si>
    <r>
      <rPr>
        <sz val="11"/>
        <rFont val="Calibri"/>
        <family val="2"/>
      </rPr>
      <t>Sorbitol HG (H/20 gói)</t>
    </r>
  </si>
  <si>
    <r>
      <rPr>
        <sz val="11"/>
        <rFont val="Calibri"/>
        <family val="2"/>
      </rPr>
      <t>TEKYNAN QM</t>
    </r>
  </si>
  <si>
    <r>
      <rPr>
        <sz val="11"/>
        <rFont val="Calibri"/>
        <family val="2"/>
      </rPr>
      <t>Sorbitol -tiền giang</t>
    </r>
  </si>
  <si>
    <r>
      <rPr>
        <sz val="11"/>
        <rFont val="Calibri"/>
        <family val="2"/>
      </rPr>
      <t>Telfast 180mg -Sanofi</t>
    </r>
  </si>
  <si>
    <r>
      <rPr>
        <sz val="11"/>
        <rFont val="Calibri"/>
        <family val="2"/>
      </rPr>
      <t>Spacap AÂu (H/20v)</t>
    </r>
  </si>
  <si>
    <r>
      <rPr>
        <sz val="11"/>
        <rFont val="Calibri"/>
        <family val="2"/>
      </rPr>
      <t>Telfast 60-sanofi</t>
    </r>
  </si>
  <si>
    <r>
      <rPr>
        <sz val="11"/>
        <rFont val="Calibri"/>
        <family val="2"/>
      </rPr>
      <t>Spas chai (C/200v) Q4</t>
    </r>
  </si>
  <si>
    <r>
      <rPr>
        <sz val="11"/>
        <rFont val="Calibri"/>
        <family val="2"/>
      </rPr>
      <t>Telfor 120 - HG  4/2023</t>
    </r>
  </si>
  <si>
    <r>
      <rPr>
        <sz val="11"/>
        <rFont val="Calibri"/>
        <family val="2"/>
      </rPr>
      <t>Spas vĩ (H/300v)  Q4</t>
    </r>
  </si>
  <si>
    <r>
      <rPr>
        <sz val="11"/>
        <rFont val="Calibri"/>
        <family val="2"/>
      </rPr>
      <t>Telfor 180 (H/20v)</t>
    </r>
  </si>
  <si>
    <r>
      <rPr>
        <sz val="11"/>
        <rFont val="Calibri"/>
        <family val="2"/>
      </rPr>
      <t>Spasmaveril TRÀ VINH</t>
    </r>
  </si>
  <si>
    <r>
      <rPr>
        <sz val="11"/>
        <rFont val="Calibri"/>
        <family val="2"/>
      </rPr>
      <t>Telfor 60</t>
    </r>
  </si>
  <si>
    <r>
      <rPr>
        <sz val="11"/>
        <rFont val="Calibri"/>
        <family val="2"/>
      </rPr>
      <t>SRM Aquaphil HG</t>
    </r>
  </si>
  <si>
    <r>
      <rPr>
        <sz val="11"/>
        <rFont val="Calibri"/>
        <family val="2"/>
      </rPr>
      <t>Telmi 40 STA</t>
    </r>
  </si>
  <si>
    <r>
      <rPr>
        <sz val="11"/>
        <rFont val="Calibri"/>
        <family val="2"/>
      </rPr>
      <t>Stagentri -STD</t>
    </r>
  </si>
  <si>
    <r>
      <rPr>
        <sz val="11"/>
        <rFont val="Calibri"/>
        <family val="2"/>
      </rPr>
      <t>Telmi 40 TV</t>
    </r>
  </si>
  <si>
    <r>
      <rPr>
        <sz val="11"/>
        <rFont val="Calibri"/>
        <family val="2"/>
      </rPr>
      <t>Stilux</t>
    </r>
  </si>
  <si>
    <r>
      <rPr>
        <sz val="11"/>
        <rFont val="Calibri"/>
        <family val="2"/>
      </rPr>
      <t>Teno 300 -savi</t>
    </r>
  </si>
  <si>
    <r>
      <rPr>
        <sz val="11"/>
        <rFont val="Calibri"/>
        <family val="2"/>
      </rPr>
      <t>Stoccel P</t>
    </r>
  </si>
  <si>
    <r>
      <rPr>
        <sz val="11"/>
        <rFont val="Calibri"/>
        <family val="2"/>
      </rPr>
      <t>TEPINBENZOAT -Hà Tĩnh</t>
    </r>
  </si>
  <si>
    <r>
      <rPr>
        <sz val="11"/>
        <rFont val="Calibri"/>
        <family val="2"/>
      </rPr>
      <t>Stomafar ( lọ/40)</t>
    </r>
  </si>
  <si>
    <r>
      <rPr>
        <sz val="11"/>
        <rFont val="Calibri"/>
        <family val="2"/>
      </rPr>
      <t>Terpin - Mekong (H/50v)</t>
    </r>
  </si>
  <si>
    <r>
      <rPr>
        <sz val="11"/>
        <rFont val="Calibri"/>
        <family val="2"/>
      </rPr>
      <t>Stomafar (H/80V)</t>
    </r>
  </si>
  <si>
    <r>
      <rPr>
        <sz val="11"/>
        <rFont val="Calibri"/>
        <family val="2"/>
      </rPr>
      <t>Terpin BENZOAT (nén ) Q4</t>
    </r>
  </si>
  <si>
    <r>
      <rPr>
        <sz val="11"/>
        <rFont val="Calibri"/>
        <family val="2"/>
      </rPr>
      <t>Strepsil Đỏ &gt;</t>
    </r>
  </si>
  <si>
    <r>
      <rPr>
        <sz val="11"/>
        <rFont val="Calibri"/>
        <family val="2"/>
      </rPr>
      <t>Terpin Cophan</t>
    </r>
  </si>
  <si>
    <r>
      <rPr>
        <sz val="11"/>
        <rFont val="Calibri"/>
        <family val="2"/>
      </rPr>
      <t>Strepsil Xanh  &gt;</t>
    </r>
  </si>
  <si>
    <r>
      <rPr>
        <sz val="11"/>
        <rFont val="Calibri"/>
        <family val="2"/>
      </rPr>
      <t>Terpin ZOAT TV</t>
    </r>
  </si>
  <si>
    <r>
      <rPr>
        <sz val="11"/>
        <rFont val="Calibri"/>
        <family val="2"/>
      </rPr>
      <t>Stu - TV</t>
    </r>
  </si>
  <si>
    <r>
      <rPr>
        <sz val="11"/>
        <rFont val="Calibri"/>
        <family val="2"/>
      </rPr>
      <t>Testovim</t>
    </r>
  </si>
  <si>
    <r>
      <rPr>
        <sz val="11"/>
        <rFont val="Calibri"/>
        <family val="2"/>
      </rPr>
      <t>Sữa rữa mặt Dercuma-MỚI</t>
    </r>
  </si>
  <si>
    <r>
      <rPr>
        <sz val="11"/>
        <rFont val="Calibri"/>
        <family val="2"/>
      </rPr>
      <t>Tetra 250 vĩ - MK</t>
    </r>
  </si>
  <si>
    <r>
      <rPr>
        <sz val="11"/>
        <rFont val="Calibri"/>
        <family val="2"/>
      </rPr>
      <t>Sửa rửa mặt TÂY THI</t>
    </r>
  </si>
  <si>
    <r>
      <rPr>
        <sz val="11"/>
        <rFont val="Calibri"/>
        <family val="2"/>
      </rPr>
      <t>Tetra 500 - MK</t>
    </r>
  </si>
  <si>
    <r>
      <rPr>
        <sz val="11"/>
        <rFont val="Calibri"/>
        <family val="2"/>
      </rPr>
      <t>Sữa tắm khổ qua</t>
    </r>
  </si>
  <si>
    <r>
      <rPr>
        <sz val="11"/>
        <rFont val="Calibri"/>
        <family val="2"/>
      </rPr>
      <t>Tetra 500 - TW25</t>
    </r>
  </si>
  <si>
    <r>
      <rPr>
        <sz val="11"/>
        <rFont val="Calibri"/>
        <family val="2"/>
      </rPr>
      <t>Sữa tắm sảy-lana</t>
    </r>
  </si>
  <si>
    <r>
      <rPr>
        <sz val="11"/>
        <rFont val="Calibri"/>
        <family val="2"/>
      </rPr>
      <t>Tetra pd QB</t>
    </r>
  </si>
  <si>
    <r>
      <rPr>
        <sz val="11"/>
        <rFont val="Calibri"/>
        <family val="2"/>
      </rPr>
      <t>Sửa tắm TÂY THI 200ml</t>
    </r>
  </si>
  <si>
    <r>
      <rPr>
        <sz val="11"/>
        <rFont val="Calibri"/>
        <family val="2"/>
      </rPr>
      <t>Thái dương 3 -  Xanh</t>
    </r>
  </si>
  <si>
    <r>
      <rPr>
        <sz val="11"/>
        <rFont val="Calibri"/>
        <family val="2"/>
      </rPr>
      <t>Subac</t>
    </r>
  </si>
  <si>
    <r>
      <rPr>
        <sz val="11"/>
        <rFont val="Calibri"/>
        <family val="2"/>
      </rPr>
      <t>Thái dương 3 - Đỏ</t>
    </r>
  </si>
  <si>
    <r>
      <rPr>
        <sz val="11"/>
        <rFont val="Calibri"/>
        <family val="2"/>
      </rPr>
      <t>Subtyl (C/20v) MK</t>
    </r>
  </si>
  <si>
    <r>
      <rPr>
        <sz val="11"/>
        <rFont val="Calibri"/>
        <family val="2"/>
      </rPr>
      <t>Thái dương 7</t>
    </r>
  </si>
  <si>
    <r>
      <rPr>
        <sz val="11"/>
        <rFont val="Calibri"/>
        <family val="2"/>
      </rPr>
      <t>Subtyl vĩ(H/20v) MK</t>
    </r>
  </si>
  <si>
    <r>
      <rPr>
        <sz val="11"/>
        <rFont val="Calibri"/>
        <family val="2"/>
      </rPr>
      <t>Thái Dương 7 - nâu-CT</t>
    </r>
  </si>
  <si>
    <r>
      <rPr>
        <sz val="11"/>
        <rFont val="Calibri"/>
        <family val="2"/>
      </rPr>
      <t>Súc miệng TB TPC</t>
    </r>
  </si>
  <si>
    <r>
      <rPr>
        <sz val="11"/>
        <rFont val="Calibri"/>
        <family val="2"/>
      </rPr>
      <t>THÁI lớn 12C ( không nhận đổi trả )</t>
    </r>
  </si>
  <si>
    <r>
      <rPr>
        <sz val="11"/>
        <rFont val="Calibri"/>
        <family val="2"/>
      </rPr>
      <t>Súc miệng THÁI DƯƠNG</t>
    </r>
  </si>
  <si>
    <r>
      <rPr>
        <sz val="11"/>
        <rFont val="Calibri"/>
        <family val="2"/>
      </rPr>
      <t>THÁI nhỏ -12C( không nhận đổi trả )</t>
    </r>
  </si>
  <si>
    <r>
      <rPr>
        <sz val="11"/>
        <rFont val="Calibri"/>
        <family val="2"/>
      </rPr>
      <t>Sủi Bocalex -HG</t>
    </r>
  </si>
  <si>
    <r>
      <rPr>
        <sz val="11"/>
        <rFont val="Calibri"/>
        <family val="2"/>
      </rPr>
      <t>Thận An Plus  (H/20v)</t>
    </r>
  </si>
  <si>
    <r>
      <rPr>
        <sz val="11"/>
        <rFont val="Calibri"/>
        <family val="2"/>
      </rPr>
      <t>Sủi C T  ường Thọ ( Nhỏ) LOX 12T</t>
    </r>
  </si>
  <si>
    <r>
      <rPr>
        <sz val="11"/>
        <rFont val="Calibri"/>
        <family val="2"/>
      </rPr>
      <t>Thăng t  ĩ (H/50v)</t>
    </r>
  </si>
  <si>
    <r>
      <rPr>
        <sz val="11"/>
        <rFont val="Calibri"/>
        <family val="2"/>
      </rPr>
      <t>SủI multi  T  ường thọ ( Lớn )-Lox 9</t>
    </r>
  </si>
  <si>
    <r>
      <rPr>
        <sz val="11"/>
        <rFont val="Calibri"/>
        <family val="2"/>
      </rPr>
      <t>Thanh Đường An (H/30v)</t>
    </r>
  </si>
  <si>
    <r>
      <rPr>
        <sz val="11"/>
        <rFont val="Calibri"/>
        <family val="2"/>
      </rPr>
      <t>Sulfa 480 (C/100CAP)</t>
    </r>
  </si>
  <si>
    <r>
      <rPr>
        <sz val="11"/>
        <rFont val="Calibri"/>
        <family val="2"/>
      </rPr>
      <t>Thấp Diệu Nang</t>
    </r>
  </si>
  <si>
    <r>
      <rPr>
        <sz val="11"/>
        <rFont val="Calibri"/>
        <family val="2"/>
      </rPr>
      <t>Sulfa 480 (C/100VNE)</t>
    </r>
  </si>
  <si>
    <r>
      <rPr>
        <sz val="11"/>
        <rFont val="Calibri"/>
        <family val="2"/>
      </rPr>
      <t>Thập Toàn Đại Bổ NN</t>
    </r>
  </si>
  <si>
    <r>
      <rPr>
        <sz val="11"/>
        <rFont val="Calibri"/>
        <family val="2"/>
      </rPr>
      <t>Sulfa 480 (H/200VNE) - Meko</t>
    </r>
  </si>
  <si>
    <r>
      <rPr>
        <sz val="11"/>
        <rFont val="Calibri"/>
        <family val="2"/>
      </rPr>
      <t>Theo 100  (H/30v)</t>
    </r>
  </si>
  <si>
    <r>
      <rPr>
        <sz val="11"/>
        <rFont val="Calibri"/>
        <family val="2"/>
      </rPr>
      <t>Sulfa 960 - MK</t>
    </r>
  </si>
  <si>
    <r>
      <rPr>
        <sz val="11"/>
        <rFont val="Calibri"/>
        <family val="2"/>
      </rPr>
      <t>Theophilin 200 -Q4</t>
    </r>
  </si>
  <si>
    <r>
      <rPr>
        <sz val="11"/>
        <rFont val="Calibri"/>
        <family val="2"/>
      </rPr>
      <t>Sulfaganin 500</t>
    </r>
  </si>
  <si>
    <r>
      <rPr>
        <sz val="11"/>
        <rFont val="Calibri"/>
        <family val="2"/>
      </rPr>
      <t>Thỏ DMK</t>
    </r>
  </si>
  <si>
    <r>
      <rPr>
        <sz val="11"/>
        <rFont val="Calibri"/>
        <family val="2"/>
      </rPr>
      <t>Sungaz 30g (nhỏ)</t>
    </r>
  </si>
  <si>
    <r>
      <rPr>
        <sz val="11"/>
        <rFont val="Calibri"/>
        <family val="2"/>
      </rPr>
      <t>Thông đỏ</t>
    </r>
  </si>
  <si>
    <r>
      <rPr>
        <sz val="11"/>
        <rFont val="Calibri"/>
        <family val="2"/>
      </rPr>
      <t>Sungaz 65g (lớn)</t>
    </r>
  </si>
  <si>
    <r>
      <rPr>
        <sz val="11"/>
        <rFont val="Calibri"/>
        <family val="2"/>
      </rPr>
      <t>Thông xoan tán (viên)</t>
    </r>
  </si>
  <si>
    <r>
      <rPr>
        <sz val="11"/>
        <rFont val="Calibri"/>
        <family val="2"/>
      </rPr>
      <t>T.D Care (C/60v)</t>
    </r>
  </si>
  <si>
    <r>
      <rPr>
        <sz val="11"/>
        <rFont val="Calibri"/>
        <family val="2"/>
      </rPr>
      <t>Thông xoang tán xịt</t>
    </r>
  </si>
  <si>
    <r>
      <rPr>
        <sz val="11"/>
        <rFont val="Calibri"/>
        <family val="2"/>
      </rPr>
      <t>T.Dương 3 - Đỏ (dây)</t>
    </r>
  </si>
  <si>
    <r>
      <rPr>
        <sz val="11"/>
        <rFont val="Calibri"/>
        <family val="2"/>
      </rPr>
      <t>Thorakao -tăng giá</t>
    </r>
  </si>
  <si>
    <r>
      <rPr>
        <sz val="11"/>
        <rFont val="Calibri"/>
        <family val="2"/>
      </rPr>
      <t>Tam diệp 1</t>
    </r>
  </si>
  <si>
    <r>
      <rPr>
        <sz val="11"/>
        <rFont val="Calibri"/>
        <family val="2"/>
      </rPr>
      <t>Thú rẻ (10 con)</t>
    </r>
  </si>
  <si>
    <r>
      <rPr>
        <sz val="11"/>
        <color rgb="FFFF0000"/>
        <rFont val="Calibri"/>
        <family val="2"/>
      </rPr>
      <t>Tam diệp 2</t>
    </r>
  </si>
  <si>
    <r>
      <rPr>
        <sz val="11"/>
        <color rgb="FFFF0000"/>
        <rFont val="Calibri"/>
        <family val="2"/>
      </rPr>
      <t>Thuốc đỏ - SGP</t>
    </r>
  </si>
  <si>
    <r>
      <rPr>
        <b/>
        <sz val="12"/>
        <color rgb="FFFF0000"/>
        <rFont val="Arial Narrow"/>
        <family val="2"/>
      </rPr>
      <t>ZALO: 0938 305 325 - 0909 23 99 10 - 0906 73 47 77            ZALO: 0938 305 325 - 0909 23 99 10 - 0906 73 47 77</t>
    </r>
  </si>
  <si>
    <r>
      <rPr>
        <sz val="11"/>
        <rFont val="Calibri"/>
        <family val="2"/>
      </rPr>
      <t>Travicold Flu - chai</t>
    </r>
  </si>
  <si>
    <r>
      <rPr>
        <sz val="11"/>
        <rFont val="Calibri"/>
        <family val="2"/>
      </rPr>
      <t>Tri - vi - ta BF - DL</t>
    </r>
  </si>
  <si>
    <r>
      <rPr>
        <sz val="11"/>
        <rFont val="Calibri"/>
        <family val="2"/>
      </rPr>
      <t>Tri - vi -ta B - DL</t>
    </r>
  </si>
  <si>
    <r>
      <rPr>
        <sz val="11"/>
        <rFont val="Calibri"/>
        <family val="2"/>
      </rPr>
      <t>Trihex PMD</t>
    </r>
  </si>
  <si>
    <r>
      <rPr>
        <sz val="11"/>
        <rFont val="Calibri"/>
        <family val="2"/>
      </rPr>
      <t>Trimafort-2023</t>
    </r>
  </si>
  <si>
    <r>
      <rPr>
        <sz val="11"/>
        <rFont val="Calibri"/>
        <family val="2"/>
      </rPr>
      <t>Trinh Nữ Hoàng Cung -CALI</t>
    </r>
  </si>
  <si>
    <r>
      <rPr>
        <sz val="11"/>
        <rFont val="Calibri"/>
        <family val="2"/>
      </rPr>
      <t>Trivacin - Chai</t>
    </r>
  </si>
  <si>
    <r>
      <rPr>
        <sz val="11"/>
        <rFont val="Calibri"/>
        <family val="2"/>
      </rPr>
      <t>Trivacin - vĩ</t>
    </r>
  </si>
  <si>
    <r>
      <rPr>
        <sz val="11"/>
        <rFont val="Calibri"/>
        <family val="2"/>
      </rPr>
      <t>Trứng cá NN</t>
    </r>
  </si>
  <si>
    <r>
      <rPr>
        <sz val="11"/>
        <rFont val="Calibri"/>
        <family val="2"/>
      </rPr>
      <t>Tư âm BT (C/80v nang)</t>
    </r>
  </si>
  <si>
    <r>
      <rPr>
        <sz val="11"/>
        <rFont val="Calibri"/>
        <family val="2"/>
      </rPr>
      <t>Tư âm BT (H/20v)</t>
    </r>
  </si>
  <si>
    <r>
      <rPr>
        <sz val="11"/>
        <rFont val="Calibri"/>
        <family val="2"/>
      </rPr>
      <t>Tuần hoàn não TD</t>
    </r>
  </si>
  <si>
    <r>
      <rPr>
        <sz val="11"/>
        <rFont val="Calibri"/>
        <family val="2"/>
      </rPr>
      <t>Tumolung</t>
    </r>
  </si>
  <si>
    <r>
      <rPr>
        <sz val="11"/>
        <rFont val="Calibri"/>
        <family val="2"/>
      </rPr>
      <t>Tyrotab nhựa - DL</t>
    </r>
  </si>
  <si>
    <r>
      <rPr>
        <sz val="11"/>
        <rFont val="Calibri"/>
        <family val="2"/>
      </rPr>
      <t>Tyrotab vỉ (H/80v) DL</t>
    </r>
  </si>
  <si>
    <r>
      <rPr>
        <sz val="11"/>
        <rFont val="Calibri"/>
        <family val="2"/>
      </rPr>
      <t>Unikid siro</t>
    </r>
  </si>
  <si>
    <r>
      <rPr>
        <sz val="11"/>
        <rFont val="Calibri"/>
        <family val="2"/>
      </rPr>
      <t>Uphatin (H/30v)  TW25</t>
    </r>
  </si>
  <si>
    <r>
      <rPr>
        <sz val="11"/>
        <rFont val="Calibri"/>
        <family val="2"/>
      </rPr>
      <t>Uphaxim 200mg H20V</t>
    </r>
  </si>
  <si>
    <r>
      <rPr>
        <sz val="11"/>
        <rFont val="Calibri"/>
        <family val="2"/>
      </rPr>
      <t>UPSA C</t>
    </r>
  </si>
  <si>
    <r>
      <rPr>
        <sz val="11"/>
        <rFont val="Calibri"/>
        <family val="2"/>
      </rPr>
      <t>Urgo BCN Trong</t>
    </r>
  </si>
  <si>
    <r>
      <rPr>
        <sz val="11"/>
        <rFont val="Calibri"/>
        <family val="2"/>
      </rPr>
      <t>Urgo xé -1.25- lox</t>
    </r>
  </si>
  <si>
    <r>
      <rPr>
        <sz val="11"/>
        <rFont val="Calibri"/>
        <family val="2"/>
      </rPr>
      <t>Valentine -KIDY</t>
    </r>
  </si>
  <si>
    <r>
      <rPr>
        <sz val="11"/>
        <rFont val="Calibri"/>
        <family val="2"/>
      </rPr>
      <t>Valentine -súc miệng LỚN</t>
    </r>
  </si>
  <si>
    <r>
      <rPr>
        <sz val="11"/>
        <rFont val="Calibri"/>
        <family val="2"/>
      </rPr>
      <t>Vạn Thọ Hoàn</t>
    </r>
  </si>
  <si>
    <r>
      <rPr>
        <sz val="11"/>
        <rFont val="Calibri"/>
        <family val="2"/>
      </rPr>
      <t>Vạn thọ tinh</t>
    </r>
  </si>
  <si>
    <r>
      <rPr>
        <sz val="11"/>
        <rFont val="Calibri"/>
        <family val="2"/>
      </rPr>
      <t>Vas 20 (H/60v) MK -CT</t>
    </r>
  </si>
  <si>
    <r>
      <rPr>
        <sz val="11"/>
        <rFont val="Calibri"/>
        <family val="2"/>
      </rPr>
      <t>Vaselin dâu - OPC</t>
    </r>
  </si>
  <si>
    <r>
      <rPr>
        <sz val="11"/>
        <rFont val="Calibri"/>
        <family val="2"/>
      </rPr>
      <t>Vaselin HG</t>
    </r>
  </si>
  <si>
    <r>
      <rPr>
        <sz val="11"/>
        <rFont val="Calibri"/>
        <family val="2"/>
      </rPr>
      <t>Vaselin pure - OPC</t>
    </r>
  </si>
  <si>
    <r>
      <rPr>
        <sz val="11"/>
        <rFont val="Calibri"/>
        <family val="2"/>
      </rPr>
      <t>Vaselin Thiên Ngân</t>
    </r>
  </si>
  <si>
    <r>
      <rPr>
        <sz val="11"/>
        <rFont val="Calibri"/>
        <family val="2"/>
      </rPr>
      <t>Vaseline hủ</t>
    </r>
  </si>
  <si>
    <r>
      <rPr>
        <sz val="11"/>
        <rFont val="Calibri"/>
        <family val="2"/>
      </rPr>
      <t>VASTEC -Hg</t>
    </r>
  </si>
  <si>
    <r>
      <rPr>
        <sz val="11"/>
        <rFont val="Calibri"/>
        <family val="2"/>
      </rPr>
      <t>Vesim</t>
    </r>
  </si>
  <si>
    <r>
      <rPr>
        <sz val="11"/>
        <rFont val="Calibri"/>
        <family val="2"/>
      </rPr>
      <t>VG5</t>
    </r>
  </si>
  <si>
    <r>
      <rPr>
        <sz val="11"/>
        <rFont val="Calibri"/>
        <family val="2"/>
      </rPr>
      <t>Vị an nhỏ</t>
    </r>
  </si>
  <si>
    <r>
      <rPr>
        <sz val="11"/>
        <rFont val="Calibri"/>
        <family val="2"/>
      </rPr>
      <t>Vị thống tán-2023</t>
    </r>
  </si>
  <si>
    <r>
      <rPr>
        <sz val="11"/>
        <rFont val="Calibri"/>
        <family val="2"/>
      </rPr>
      <t>Viêm da Bảo Phương</t>
    </r>
  </si>
  <si>
    <r>
      <rPr>
        <sz val="11"/>
        <rFont val="Calibri"/>
        <family val="2"/>
      </rPr>
      <t>Viêm vai gáy</t>
    </r>
  </si>
  <si>
    <r>
      <rPr>
        <sz val="11"/>
        <rFont val="Calibri"/>
        <family val="2"/>
      </rPr>
      <t>VIÊM XOANG KIM HÒA 6/2022</t>
    </r>
  </si>
  <si>
    <r>
      <rPr>
        <sz val="11"/>
        <rFont val="Calibri"/>
        <family val="2"/>
      </rPr>
      <t>Viên ăn Ngủ Ngon Happy Health -H6</t>
    </r>
  </si>
  <si>
    <r>
      <rPr>
        <sz val="11"/>
        <rFont val="Calibri"/>
        <family val="2"/>
      </rPr>
      <t>Viên Diếp Cá</t>
    </r>
  </si>
  <si>
    <r>
      <rPr>
        <sz val="11"/>
        <rFont val="Calibri"/>
        <family val="2"/>
      </rPr>
      <t>Viên I.Mẫu lớn (H/50v) OPC</t>
    </r>
  </si>
  <si>
    <r>
      <rPr>
        <sz val="11"/>
        <rFont val="Calibri"/>
        <family val="2"/>
      </rPr>
      <t>Viên I.Mẫu nhỏ (H/20v) OPC</t>
    </r>
  </si>
  <si>
    <r>
      <rPr>
        <sz val="11"/>
        <rFont val="Calibri"/>
        <family val="2"/>
      </rPr>
      <t>Viên thìa canh GCL</t>
    </r>
  </si>
  <si>
    <r>
      <rPr>
        <sz val="11"/>
        <rFont val="Calibri"/>
        <family val="2"/>
      </rPr>
      <t>Viên xông - OPC (H/20v)</t>
    </r>
  </si>
  <si>
    <r>
      <rPr>
        <sz val="11"/>
        <rFont val="Calibri"/>
        <family val="2"/>
      </rPr>
      <t>Vimaxx -lights</t>
    </r>
  </si>
  <si>
    <r>
      <rPr>
        <sz val="11"/>
        <rFont val="Calibri"/>
        <family val="2"/>
      </rPr>
      <t>Vina ho (siro)</t>
    </r>
  </si>
  <si>
    <r>
      <rPr>
        <sz val="11"/>
        <rFont val="Calibri"/>
        <family val="2"/>
      </rPr>
      <t>Vina ho (xịt)</t>
    </r>
  </si>
  <si>
    <r>
      <rPr>
        <sz val="11"/>
        <rFont val="Calibri"/>
        <family val="2"/>
      </rPr>
      <t>Vipteen (H/20v)</t>
    </r>
  </si>
  <si>
    <r>
      <rPr>
        <sz val="11"/>
        <rFont val="Calibri"/>
        <family val="2"/>
      </rPr>
      <t>Vịt DMC ( 4 con)</t>
    </r>
  </si>
  <si>
    <r>
      <rPr>
        <sz val="11"/>
        <rFont val="Calibri"/>
        <family val="2"/>
      </rPr>
      <t>Vịt rẻ (10 con)</t>
    </r>
  </si>
  <si>
    <r>
      <rPr>
        <sz val="11"/>
        <color rgb="FFFF0000"/>
        <rFont val="Calibri"/>
        <family val="2"/>
      </rPr>
      <t>Vitamin E -H 100v</t>
    </r>
  </si>
  <si>
    <r>
      <rPr>
        <sz val="11"/>
        <color rgb="FFFF0000"/>
        <rFont val="Calibri"/>
        <family val="2"/>
      </rPr>
      <t>Hộp l</t>
    </r>
  </si>
  <si>
    <r>
      <rPr>
        <sz val="11"/>
        <rFont val="Calibri"/>
        <family val="2"/>
      </rPr>
      <t>TiA Sulfene ( v) TG</t>
    </r>
  </si>
  <si>
    <r>
      <rPr>
        <sz val="11"/>
        <rFont val="Calibri"/>
        <family val="2"/>
      </rPr>
      <t>TiA sulfene-TG</t>
    </r>
  </si>
  <si>
    <r>
      <rPr>
        <sz val="11"/>
        <rFont val="Calibri"/>
        <family val="2"/>
      </rPr>
      <t>Ticarlox</t>
    </r>
  </si>
  <si>
    <r>
      <rPr>
        <sz val="11"/>
        <rFont val="Calibri"/>
        <family val="2"/>
      </rPr>
      <t>Tiềm long (H/10 gói)</t>
    </r>
  </si>
  <si>
    <r>
      <rPr>
        <sz val="11"/>
        <rFont val="Calibri"/>
        <family val="2"/>
      </rPr>
      <t>Tiền Đình Khang (H/30v)</t>
    </r>
  </si>
  <si>
    <r>
      <rPr>
        <sz val="11"/>
        <rFont val="Calibri"/>
        <family val="2"/>
      </rPr>
      <t>Tiền liệt vương</t>
    </r>
  </si>
  <si>
    <r>
      <rPr>
        <sz val="11"/>
        <rFont val="Calibri"/>
        <family val="2"/>
      </rPr>
      <t>Tiêu Ban Thủy</t>
    </r>
  </si>
  <si>
    <r>
      <rPr>
        <sz val="11"/>
        <rFont val="Calibri"/>
        <family val="2"/>
      </rPr>
      <t>Tiêu độc (PV) (C/60v)</t>
    </r>
  </si>
  <si>
    <r>
      <rPr>
        <sz val="11"/>
        <rFont val="Calibri"/>
        <family val="2"/>
      </rPr>
      <t>Tiêu độc hoàn</t>
    </r>
  </si>
  <si>
    <r>
      <rPr>
        <sz val="11"/>
        <rFont val="Calibri"/>
        <family val="2"/>
      </rPr>
      <t>Tiêu độc Nam Hà</t>
    </r>
  </si>
  <si>
    <r>
      <rPr>
        <sz val="11"/>
        <rFont val="Calibri"/>
        <family val="2"/>
      </rPr>
      <t>Tiêu khiết thanh (H/30v)</t>
    </r>
  </si>
  <si>
    <r>
      <rPr>
        <sz val="11"/>
        <rFont val="Calibri"/>
        <family val="2"/>
      </rPr>
      <t>Tiêu nai đen ( TĂNG GIÁ )</t>
    </r>
  </si>
  <si>
    <r>
      <rPr>
        <sz val="11"/>
        <rFont val="Calibri"/>
        <family val="2"/>
      </rPr>
      <t>Tiêu song long</t>
    </r>
  </si>
  <si>
    <r>
      <rPr>
        <sz val="11"/>
        <rFont val="Calibri"/>
        <family val="2"/>
      </rPr>
      <t>Tinecol-TĂNG</t>
    </r>
  </si>
  <si>
    <r>
      <rPr>
        <sz val="11"/>
        <rFont val="Calibri"/>
        <family val="2"/>
      </rPr>
      <t>Tinh Dầu Bưởi ( Thảo Nguyên)</t>
    </r>
  </si>
  <si>
    <r>
      <rPr>
        <sz val="11"/>
        <rFont val="Calibri"/>
        <family val="2"/>
      </rPr>
      <t>Tĩnh mạch khang (H/30v)</t>
    </r>
  </si>
  <si>
    <r>
      <rPr>
        <sz val="11"/>
        <rFont val="Calibri"/>
        <family val="2"/>
      </rPr>
      <t>Tinidazol  500</t>
    </r>
  </si>
  <si>
    <r>
      <rPr>
        <sz val="11"/>
        <rFont val="Calibri"/>
        <family val="2"/>
      </rPr>
      <t>TMBP lớn ( Bình Đông )</t>
    </r>
  </si>
  <si>
    <r>
      <rPr>
        <sz val="11"/>
        <rFont val="Calibri"/>
        <family val="2"/>
      </rPr>
      <t>TMBP nhỏ ( Bình Đông )</t>
    </r>
  </si>
  <si>
    <r>
      <rPr>
        <sz val="11"/>
        <rFont val="Calibri"/>
        <family val="2"/>
      </rPr>
      <t>Tố Nữ NN (H/10v)</t>
    </r>
  </si>
  <si>
    <r>
      <rPr>
        <sz val="11"/>
        <rFont val="Calibri"/>
        <family val="2"/>
      </rPr>
      <t>Tổ yến Xuyên Bối Tỳ Bà Cao-150ml</t>
    </r>
  </si>
  <si>
    <r>
      <rPr>
        <sz val="11"/>
        <rFont val="Calibri"/>
        <family val="2"/>
      </rPr>
      <t>TỌA CỐT THIÊN MA</t>
    </r>
  </si>
  <si>
    <r>
      <rPr>
        <sz val="11"/>
        <rFont val="Calibri"/>
        <family val="2"/>
      </rPr>
      <t>TOBIDEX -BĐ</t>
    </r>
  </si>
  <si>
    <r>
      <rPr>
        <sz val="11"/>
        <rFont val="Calibri"/>
        <family val="2"/>
      </rPr>
      <t>TOBRAMYCIN TPC</t>
    </r>
  </si>
  <si>
    <r>
      <rPr>
        <sz val="11"/>
        <rFont val="Calibri"/>
        <family val="2"/>
      </rPr>
      <t>Tỏi Đen Sâm Ngọc Linh</t>
    </r>
  </si>
  <si>
    <r>
      <rPr>
        <sz val="11"/>
        <rFont val="Calibri"/>
        <family val="2"/>
      </rPr>
      <t>Tỏi tuệ linh</t>
    </r>
  </si>
  <si>
    <r>
      <rPr>
        <sz val="11"/>
        <rFont val="Calibri"/>
        <family val="2"/>
      </rPr>
      <t>Tomax-Tang gia</t>
    </r>
  </si>
  <si>
    <r>
      <rPr>
        <sz val="11"/>
        <rFont val="Calibri"/>
        <family val="2"/>
      </rPr>
      <t>Tomikan</t>
    </r>
  </si>
  <si>
    <r>
      <rPr>
        <sz val="11"/>
        <rFont val="Calibri"/>
        <family val="2"/>
      </rPr>
      <t>TONKA (H/20v)</t>
    </r>
  </si>
  <si>
    <r>
      <rPr>
        <sz val="11"/>
        <rFont val="Calibri"/>
        <family val="2"/>
      </rPr>
      <t>Top - rẻ (H/24v)</t>
    </r>
  </si>
  <si>
    <r>
      <rPr>
        <sz val="11"/>
        <rFont val="Calibri"/>
        <family val="2"/>
      </rPr>
      <t>Totri- Gói</t>
    </r>
  </si>
  <si>
    <r>
      <rPr>
        <sz val="11"/>
        <rFont val="Calibri"/>
        <family val="2"/>
      </rPr>
      <t>Tottri (v)</t>
    </r>
  </si>
  <si>
    <r>
      <rPr>
        <sz val="11"/>
        <rFont val="Calibri"/>
        <family val="2"/>
      </rPr>
      <t>Toussolene 5 (H/250v) Q4</t>
    </r>
  </si>
  <si>
    <r>
      <rPr>
        <sz val="11"/>
        <rFont val="Calibri"/>
        <family val="2"/>
      </rPr>
      <t>TP nhuận gan</t>
    </r>
  </si>
  <si>
    <r>
      <rPr>
        <sz val="11"/>
        <rFont val="Calibri"/>
        <family val="2"/>
      </rPr>
      <t>Trà Atiso (H/20 túi) VĨNH TIẾN</t>
    </r>
  </si>
  <si>
    <r>
      <rPr>
        <sz val="11"/>
        <rFont val="Calibri"/>
        <family val="2"/>
      </rPr>
      <t>TRA Diep Ha Chau Vạn Xuân</t>
    </r>
  </si>
  <si>
    <r>
      <rPr>
        <sz val="11"/>
        <rFont val="Calibri"/>
        <family val="2"/>
      </rPr>
      <t>Trà gừng TPC</t>
    </r>
  </si>
  <si>
    <r>
      <rPr>
        <sz val="11"/>
        <rFont val="Calibri"/>
        <family val="2"/>
      </rPr>
      <t>Trà Hoàn ngọc - Vàng</t>
    </r>
  </si>
  <si>
    <r>
      <rPr>
        <sz val="11"/>
        <rFont val="Calibri"/>
        <family val="2"/>
      </rPr>
      <t>Trà Hoàn ngọc - Xanh</t>
    </r>
  </si>
  <si>
    <r>
      <rPr>
        <sz val="11"/>
        <rFont val="Calibri"/>
        <family val="2"/>
      </rPr>
      <t>Trà tam lang</t>
    </r>
  </si>
  <si>
    <r>
      <rPr>
        <sz val="11"/>
        <rFont val="Calibri"/>
        <family val="2"/>
      </rPr>
      <t>Tragala A- Thiên Khánh</t>
    </r>
  </si>
  <si>
    <r>
      <rPr>
        <sz val="11"/>
        <rFont val="Calibri"/>
        <family val="2"/>
      </rPr>
      <t>Tragutan ( nhựa)</t>
    </r>
  </si>
  <si>
    <r>
      <rPr>
        <sz val="11"/>
        <rFont val="Calibri"/>
        <family val="2"/>
      </rPr>
      <t>Tragutan (H/100 Viên)</t>
    </r>
  </si>
  <si>
    <r>
      <rPr>
        <sz val="11"/>
        <rFont val="Calibri"/>
        <family val="2"/>
      </rPr>
      <t>Tragutan (H/40 gói)7/2022</t>
    </r>
  </si>
  <si>
    <r>
      <rPr>
        <sz val="11"/>
        <rFont val="Calibri"/>
        <family val="2"/>
      </rPr>
      <t>Traluvi</t>
    </r>
  </si>
  <si>
    <r>
      <rPr>
        <sz val="11"/>
        <rFont val="Calibri"/>
        <family val="2"/>
      </rPr>
      <t>Tran Mu u ( QM )</t>
    </r>
  </si>
  <si>
    <r>
      <rPr>
        <sz val="11"/>
        <rFont val="Calibri"/>
        <family val="2"/>
      </rPr>
      <t>Tràng phục linh - Plus (H/20v)</t>
    </r>
  </si>
  <si>
    <r>
      <rPr>
        <sz val="11"/>
        <rFont val="Calibri"/>
        <family val="2"/>
      </rPr>
      <t>Tràng phục linh XANH (H/20v)</t>
    </r>
  </si>
  <si>
    <r>
      <rPr>
        <sz val="11"/>
        <rFont val="Calibri"/>
        <family val="2"/>
      </rPr>
      <t>Tràng vị khang /LOX 4 GÓI</t>
    </r>
  </si>
  <si>
    <r>
      <rPr>
        <sz val="11"/>
        <rFont val="Calibri"/>
        <family val="2"/>
      </rPr>
      <t>Trangala -QUANG MINH</t>
    </r>
  </si>
  <si>
    <r>
      <rPr>
        <sz val="11"/>
        <rFont val="Calibri"/>
        <family val="2"/>
      </rPr>
      <t>Trật Đã Xịt - PA ( Date xa )</t>
    </r>
  </si>
  <si>
    <r>
      <rPr>
        <sz val="11"/>
        <color rgb="FFFF0000"/>
        <rFont val="Calibri"/>
        <family val="2"/>
      </rPr>
      <t>TRAVICOL FLU -Vĩ</t>
    </r>
  </si>
  <si>
    <r>
      <rPr>
        <b/>
        <sz val="12"/>
        <color rgb="FFFF0000"/>
        <rFont val="Arial Narrow"/>
        <family val="2"/>
      </rPr>
      <t>ZALO: 0938 305 325 - 0909 23 99 10 - 0906 73 47 77</t>
    </r>
  </si>
  <si>
    <r>
      <rPr>
        <sz val="11"/>
        <rFont val="Calibri"/>
        <family val="2"/>
      </rPr>
      <t>Vitaral siro - DL</t>
    </r>
  </si>
  <si>
    <r>
      <rPr>
        <sz val="6"/>
        <rFont val="Calibri"/>
        <family val="2"/>
      </rPr>
      <t xml:space="preserve">1249
</t>
    </r>
    <r>
      <rPr>
        <sz val="6"/>
        <rFont val="Calibri"/>
        <family val="2"/>
      </rPr>
      <t xml:space="preserve">1250
</t>
    </r>
    <r>
      <rPr>
        <sz val="6"/>
        <rFont val="Calibri"/>
        <family val="2"/>
      </rPr>
      <t xml:space="preserve">1251
</t>
    </r>
    <r>
      <rPr>
        <sz val="6"/>
        <rFont val="Calibri"/>
        <family val="2"/>
      </rPr>
      <t xml:space="preserve">1252
</t>
    </r>
    <r>
      <rPr>
        <sz val="6"/>
        <rFont val="Calibri"/>
        <family val="2"/>
      </rPr>
      <t xml:space="preserve">1253
</t>
    </r>
    <r>
      <rPr>
        <sz val="6"/>
        <rFont val="Calibri"/>
        <family val="2"/>
      </rPr>
      <t xml:space="preserve">1254
</t>
    </r>
    <r>
      <rPr>
        <sz val="6"/>
        <rFont val="Calibri"/>
        <family val="2"/>
      </rPr>
      <t xml:space="preserve">1255
</t>
    </r>
    <r>
      <rPr>
        <sz val="6"/>
        <rFont val="Calibri"/>
        <family val="2"/>
      </rPr>
      <t xml:space="preserve">1256
</t>
    </r>
    <r>
      <rPr>
        <sz val="6"/>
        <rFont val="Calibri"/>
        <family val="2"/>
      </rPr>
      <t xml:space="preserve">1257
</t>
    </r>
    <r>
      <rPr>
        <sz val="6"/>
        <rFont val="Calibri"/>
        <family val="2"/>
      </rPr>
      <t xml:space="preserve">1258
</t>
    </r>
    <r>
      <rPr>
        <sz val="6"/>
        <rFont val="Calibri"/>
        <family val="2"/>
      </rPr>
      <t xml:space="preserve">1259
</t>
    </r>
    <r>
      <rPr>
        <sz val="6"/>
        <rFont val="Calibri"/>
        <family val="2"/>
      </rPr>
      <t xml:space="preserve">1260
</t>
    </r>
    <r>
      <rPr>
        <sz val="6"/>
        <rFont val="Calibri"/>
        <family val="2"/>
      </rPr>
      <t xml:space="preserve">1261
</t>
    </r>
    <r>
      <rPr>
        <sz val="6"/>
        <rFont val="Calibri"/>
        <family val="2"/>
      </rPr>
      <t xml:space="preserve">1262
</t>
    </r>
    <r>
      <rPr>
        <sz val="6"/>
        <rFont val="Calibri"/>
        <family val="2"/>
      </rPr>
      <t xml:space="preserve">1263
</t>
    </r>
    <r>
      <rPr>
        <sz val="6"/>
        <rFont val="Calibri"/>
        <family val="2"/>
      </rPr>
      <t xml:space="preserve">1264
</t>
    </r>
    <r>
      <rPr>
        <sz val="6"/>
        <rFont val="Calibri"/>
        <family val="2"/>
      </rPr>
      <t xml:space="preserve">1265
</t>
    </r>
    <r>
      <rPr>
        <sz val="6"/>
        <rFont val="Calibri"/>
        <family val="2"/>
      </rPr>
      <t xml:space="preserve">1266
</t>
    </r>
    <r>
      <rPr>
        <sz val="6"/>
        <rFont val="Calibri"/>
        <family val="2"/>
      </rPr>
      <t xml:space="preserve">1267
</t>
    </r>
    <r>
      <rPr>
        <sz val="6"/>
        <rFont val="Calibri"/>
        <family val="2"/>
      </rPr>
      <t xml:space="preserve">1268
</t>
    </r>
    <r>
      <rPr>
        <sz val="6"/>
        <rFont val="Calibri"/>
        <family val="2"/>
      </rPr>
      <t xml:space="preserve">1269
</t>
    </r>
    <r>
      <rPr>
        <sz val="6"/>
        <rFont val="Calibri"/>
        <family val="2"/>
      </rPr>
      <t xml:space="preserve">1270
</t>
    </r>
    <r>
      <rPr>
        <sz val="6"/>
        <rFont val="Calibri"/>
        <family val="2"/>
      </rPr>
      <t xml:space="preserve">1271
</t>
    </r>
    <r>
      <rPr>
        <sz val="6"/>
        <rFont val="Calibri"/>
        <family val="2"/>
      </rPr>
      <t xml:space="preserve">1272
</t>
    </r>
    <r>
      <rPr>
        <sz val="6"/>
        <rFont val="Calibri"/>
        <family val="2"/>
      </rPr>
      <t xml:space="preserve">1273
</t>
    </r>
    <r>
      <rPr>
        <sz val="6"/>
        <rFont val="Calibri"/>
        <family val="2"/>
      </rPr>
      <t xml:space="preserve">1274
</t>
    </r>
    <r>
      <rPr>
        <sz val="6"/>
        <rFont val="Calibri"/>
        <family val="2"/>
      </rPr>
      <t xml:space="preserve">1275
</t>
    </r>
    <r>
      <rPr>
        <sz val="6"/>
        <rFont val="Calibri"/>
        <family val="2"/>
      </rPr>
      <t xml:space="preserve">1276
</t>
    </r>
    <r>
      <rPr>
        <sz val="6"/>
        <rFont val="Calibri"/>
        <family val="2"/>
      </rPr>
      <t xml:space="preserve">1277
</t>
    </r>
    <r>
      <rPr>
        <sz val="6"/>
        <rFont val="Calibri"/>
        <family val="2"/>
      </rPr>
      <t xml:space="preserve">1278
</t>
    </r>
    <r>
      <rPr>
        <sz val="6"/>
        <rFont val="Calibri"/>
        <family val="2"/>
      </rPr>
      <t xml:space="preserve">1279
</t>
    </r>
    <r>
      <rPr>
        <sz val="6"/>
        <rFont val="Calibri"/>
        <family val="2"/>
      </rPr>
      <t xml:space="preserve">1280
</t>
    </r>
    <r>
      <rPr>
        <sz val="6"/>
        <rFont val="Calibri"/>
        <family val="2"/>
      </rPr>
      <t xml:space="preserve">1281
</t>
    </r>
    <r>
      <rPr>
        <sz val="6"/>
        <rFont val="Calibri"/>
        <family val="2"/>
      </rPr>
      <t xml:space="preserve">1282
</t>
    </r>
    <r>
      <rPr>
        <sz val="6"/>
        <rFont val="Calibri"/>
        <family val="2"/>
      </rPr>
      <t xml:space="preserve">1283
</t>
    </r>
    <r>
      <rPr>
        <sz val="6"/>
        <rFont val="Calibri"/>
        <family val="2"/>
      </rPr>
      <t xml:space="preserve">1284
</t>
    </r>
    <r>
      <rPr>
        <sz val="6"/>
        <rFont val="Calibri"/>
        <family val="2"/>
      </rPr>
      <t xml:space="preserve">1285
</t>
    </r>
    <r>
      <rPr>
        <sz val="6"/>
        <rFont val="Calibri"/>
        <family val="2"/>
      </rPr>
      <t>1286</t>
    </r>
  </si>
  <si>
    <r>
      <rPr>
        <sz val="11"/>
        <rFont val="Calibri"/>
        <family val="2"/>
      </rPr>
      <t>Vương Bảo (H/20v)</t>
    </r>
  </si>
  <si>
    <r>
      <rPr>
        <sz val="11"/>
        <rFont val="Calibri"/>
        <family val="2"/>
      </rPr>
      <t>Vương Bảo LỌ ( Lo 80v)</t>
    </r>
  </si>
  <si>
    <r>
      <rPr>
        <sz val="11"/>
        <rFont val="Calibri"/>
        <family val="2"/>
      </rPr>
      <t>Vương lão kiện (H/30v)</t>
    </r>
  </si>
  <si>
    <r>
      <rPr>
        <sz val="11"/>
        <rFont val="Calibri"/>
        <family val="2"/>
      </rPr>
      <t>Vương não khang (H/30 gói)</t>
    </r>
  </si>
  <si>
    <r>
      <rPr>
        <sz val="11"/>
        <rFont val="Calibri"/>
        <family val="2"/>
      </rPr>
      <t>Vương Tâm Thống (H/30v)</t>
    </r>
  </si>
  <si>
    <r>
      <rPr>
        <sz val="11"/>
        <rFont val="Calibri"/>
        <family val="2"/>
      </rPr>
      <t>VXHT tốt</t>
    </r>
  </si>
  <si>
    <r>
      <rPr>
        <sz val="11"/>
        <rFont val="Calibri"/>
        <family val="2"/>
      </rPr>
      <t>WAISAN 50-NHỎ</t>
    </r>
  </si>
  <si>
    <r>
      <rPr>
        <sz val="11"/>
        <rFont val="Calibri"/>
        <family val="2"/>
      </rPr>
      <t>Xích Thố Vương (H/20v)</t>
    </r>
  </si>
  <si>
    <r>
      <rPr>
        <sz val="11"/>
        <rFont val="Calibri"/>
        <family val="2"/>
      </rPr>
      <t>Xisat hồng 70ml</t>
    </r>
  </si>
  <si>
    <r>
      <rPr>
        <sz val="11"/>
        <rFont val="Calibri"/>
        <family val="2"/>
      </rPr>
      <t>Xisat Nhí</t>
    </r>
  </si>
  <si>
    <r>
      <rPr>
        <sz val="11"/>
        <rFont val="Calibri"/>
        <family val="2"/>
      </rPr>
      <t>XISAT viêm mũi</t>
    </r>
  </si>
  <si>
    <r>
      <rPr>
        <sz val="11"/>
        <rFont val="Calibri"/>
        <family val="2"/>
      </rPr>
      <t>Xisat xanh 70ml</t>
    </r>
  </si>
  <si>
    <r>
      <rPr>
        <sz val="11"/>
        <rFont val="Calibri"/>
        <family val="2"/>
      </rPr>
      <t>Xịt họng Nhất Nhất</t>
    </r>
  </si>
  <si>
    <r>
      <rPr>
        <sz val="11"/>
        <rFont val="Calibri"/>
        <family val="2"/>
      </rPr>
      <t>Xịt họng xuyên tâm liên</t>
    </r>
  </si>
  <si>
    <r>
      <rPr>
        <sz val="11"/>
        <rFont val="Calibri"/>
        <family val="2"/>
      </rPr>
      <t>Xịt mũi TD</t>
    </r>
  </si>
  <si>
    <r>
      <rPr>
        <sz val="11"/>
        <rFont val="Calibri"/>
        <family val="2"/>
      </rPr>
      <t>Xitrina -RẺ</t>
    </r>
  </si>
  <si>
    <r>
      <rPr>
        <sz val="11"/>
        <rFont val="Calibri"/>
        <family val="2"/>
      </rPr>
      <t>Xitrina -VIdipha</t>
    </r>
  </si>
  <si>
    <r>
      <rPr>
        <sz val="11"/>
        <rFont val="Calibri"/>
        <family val="2"/>
      </rPr>
      <t>Xoang Bách Phục (H/20v)</t>
    </r>
  </si>
  <si>
    <r>
      <rPr>
        <sz val="11"/>
        <rFont val="Calibri"/>
        <family val="2"/>
      </rPr>
      <t>Xoang Sray &gt;</t>
    </r>
  </si>
  <si>
    <r>
      <rPr>
        <sz val="11"/>
        <rFont val="Calibri"/>
        <family val="2"/>
      </rPr>
      <t>Xru 21</t>
    </r>
  </si>
  <si>
    <r>
      <rPr>
        <sz val="11"/>
        <rFont val="Calibri"/>
        <family val="2"/>
      </rPr>
      <t>Xuân nữ BH cao</t>
    </r>
  </si>
  <si>
    <r>
      <rPr>
        <sz val="11"/>
        <rFont val="Calibri"/>
        <family val="2"/>
      </rPr>
      <t>Xuân nữ cao</t>
    </r>
  </si>
  <si>
    <r>
      <rPr>
        <sz val="11"/>
        <rFont val="Calibri"/>
        <family val="2"/>
      </rPr>
      <t>Xương khớp NN</t>
    </r>
  </si>
  <si>
    <r>
      <rPr>
        <sz val="11"/>
        <rFont val="Calibri"/>
        <family val="2"/>
      </rPr>
      <t>Xuyên bối tỳ bà cao 75 ml</t>
    </r>
  </si>
  <si>
    <r>
      <rPr>
        <sz val="11"/>
        <rFont val="Calibri"/>
        <family val="2"/>
      </rPr>
      <t>Xuyên tâm liên -Fort KM</t>
    </r>
  </si>
  <si>
    <r>
      <rPr>
        <sz val="11"/>
        <rFont val="Calibri"/>
        <family val="2"/>
      </rPr>
      <t>Y lang chí</t>
    </r>
  </si>
  <si>
    <r>
      <rPr>
        <sz val="11"/>
        <rFont val="Calibri"/>
        <family val="2"/>
      </rPr>
      <t>Ybio (H/24 gói)</t>
    </r>
  </si>
  <si>
    <r>
      <rPr>
        <sz val="11"/>
        <rFont val="Calibri"/>
        <family val="2"/>
      </rPr>
      <t>Yosun - rau má</t>
    </r>
  </si>
  <si>
    <r>
      <rPr>
        <sz val="11"/>
        <rFont val="Calibri"/>
        <family val="2"/>
      </rPr>
      <t>Yumagel</t>
    </r>
  </si>
  <si>
    <r>
      <rPr>
        <sz val="11"/>
        <rFont val="Calibri"/>
        <family val="2"/>
      </rPr>
      <t>Z Bull</t>
    </r>
  </si>
  <si>
    <r>
      <rPr>
        <sz val="11"/>
        <rFont val="Calibri"/>
        <family val="2"/>
      </rPr>
      <t>Zalocol l - KẸO</t>
    </r>
  </si>
  <si>
    <r>
      <rPr>
        <sz val="11"/>
        <rFont val="Calibri"/>
        <family val="2"/>
      </rPr>
      <t>Zecuf -  xanh</t>
    </r>
  </si>
  <si>
    <r>
      <rPr>
        <sz val="11"/>
        <rFont val="Calibri"/>
        <family val="2"/>
      </rPr>
      <t>ZECUP SIRO</t>
    </r>
  </si>
  <si>
    <r>
      <rPr>
        <sz val="11"/>
        <rFont val="Calibri"/>
        <family val="2"/>
      </rPr>
      <t>Zenko xanh -xit mui NN</t>
    </r>
  </si>
  <si>
    <r>
      <rPr>
        <sz val="11"/>
        <rFont val="Calibri"/>
        <family val="2"/>
      </rPr>
      <t>Zinmax 250mg DMC</t>
    </r>
  </si>
  <si>
    <r>
      <rPr>
        <sz val="11"/>
        <rFont val="Calibri"/>
        <family val="2"/>
      </rPr>
      <t>Zokozen gói</t>
    </r>
  </si>
  <si>
    <r>
      <rPr>
        <sz val="11"/>
        <rFont val="Calibri"/>
        <family val="2"/>
      </rPr>
      <t>Zopitad 75mg -STD</t>
    </r>
  </si>
  <si>
    <t>3B chai (C/50v) MK</t>
  </si>
  <si>
    <t>3B PV (H/100v)</t>
  </si>
  <si>
    <t>3B rẻ (H/100V)-DAKTIN</t>
  </si>
  <si>
    <t>3B vĩ (H/100v) MK</t>
  </si>
  <si>
    <t>A 5000IU (H/100v)</t>
  </si>
  <si>
    <t>Acemol 325 (C/40v)</t>
  </si>
  <si>
    <t>Acemuc 100 kids</t>
  </si>
  <si>
    <t>Acemuc 200-VIEN</t>
  </si>
  <si>
    <t>Ace-tazolamic (H/100V)</t>
  </si>
  <si>
    <t>Ace-tyl 200  vĩ 2/9</t>
  </si>
  <si>
    <t>Ace-tyl chai 2/9 (C/80v)</t>
  </si>
  <si>
    <t>Acetyl GÓI ( 2/9) (H/30 gói)</t>
  </si>
  <si>
    <t>Ace-tyl vĩ MKP-CT</t>
  </si>
  <si>
    <t>Acigmentin 625-Minh Hải</t>
  </si>
  <si>
    <t>Acimentin 1G - MINH HẢI</t>
  </si>
  <si>
    <t>Acy 200 -viên stda</t>
  </si>
  <si>
    <t>Acyc lovir 200 (H/10v) DMK</t>
  </si>
  <si>
    <t>ACYCLOVIR 400 STD</t>
  </si>
  <si>
    <t>STT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</si>
  <si>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</si>
  <si>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</si>
  <si>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</si>
  <si>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</si>
  <si>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</si>
  <si>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</si>
  <si>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</si>
  <si>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</si>
  <si>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</si>
  <si>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</si>
  <si>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</si>
  <si>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</si>
  <si>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</si>
  <si>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</si>
  <si>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</si>
  <si>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</si>
  <si>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</si>
  <si>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</si>
  <si>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</si>
  <si>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</si>
  <si>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</si>
  <si>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</si>
  <si>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</si>
  <si>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</si>
  <si>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</si>
  <si>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</si>
  <si>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</si>
  <si>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</si>
  <si>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</si>
  <si>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</si>
  <si>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</si>
  <si>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</si>
  <si>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</si>
  <si>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</si>
  <si>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</si>
  <si>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</si>
  <si>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</si>
  <si>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</si>
  <si>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</si>
  <si>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</si>
  <si>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</si>
  <si>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</si>
  <si>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</si>
  <si>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</si>
  <si>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</si>
  <si>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</si>
  <si>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</si>
  <si>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</si>
  <si>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</si>
  <si>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</si>
  <si>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</si>
  <si>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</si>
  <si>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</si>
  <si>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</si>
  <si>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</si>
  <si>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</si>
  <si>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</si>
  <si>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</si>
  <si>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</si>
  <si>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</si>
  <si>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</si>
  <si>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</si>
  <si>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</si>
  <si>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</si>
  <si>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</si>
  <si>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</si>
  <si>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</si>
  <si>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</si>
  <si>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</si>
  <si>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</si>
  <si>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</si>
  <si>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</si>
  <si>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</si>
  <si>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</si>
  <si>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</si>
  <si>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</si>
  <si>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</si>
  <si>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</si>
  <si>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</si>
  <si>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</si>
  <si>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</si>
  <si>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</si>
  <si>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</si>
  <si>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</si>
  <si>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</si>
  <si>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</si>
  <si>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</si>
  <si>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</si>
  <si>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</si>
  <si>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</si>
  <si>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</si>
  <si>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</si>
  <si>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</si>
  <si>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</si>
  <si>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</si>
  <si>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</si>
  <si>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</si>
  <si>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</si>
  <si>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</si>
  <si>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</si>
  <si>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</si>
  <si>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</si>
  <si>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</si>
  <si>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</si>
  <si>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</si>
  <si>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</si>
  <si>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</si>
  <si>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</si>
  <si>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</si>
  <si>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</si>
  <si>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</si>
  <si>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</si>
  <si>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</si>
  <si>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</si>
  <si>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</si>
  <si>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</si>
  <si>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</si>
  <si>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</si>
  <si>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</si>
  <si>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</si>
  <si>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</si>
  <si>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</si>
  <si>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</si>
  <si>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</si>
  <si>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</si>
  <si>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</si>
  <si>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</si>
  <si>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</si>
  <si>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</si>
  <si>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</si>
  <si>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</si>
  <si>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</si>
  <si>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</si>
  <si>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</si>
  <si>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</si>
  <si>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</si>
  <si>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</si>
  <si>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</si>
  <si>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</si>
  <si>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</si>
  <si>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</si>
  <si>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</si>
  <si>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</si>
  <si>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</si>
  <si>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</si>
  <si>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</si>
  <si>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</si>
  <si>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</si>
  <si>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</si>
  <si>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</si>
  <si>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</si>
  <si>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</si>
  <si>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</si>
  <si>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</si>
  <si>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</si>
  <si>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</si>
  <si>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</si>
  <si>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</si>
  <si>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</si>
  <si>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</si>
  <si>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</si>
  <si>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</si>
  <si>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</si>
  <si>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</si>
  <si>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</si>
  <si>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</si>
  <si>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</si>
  <si>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</si>
  <si>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</si>
  <si>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</si>
  <si>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</si>
  <si>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</si>
  <si>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</si>
  <si>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</si>
  <si>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</si>
  <si>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</si>
  <si>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</si>
  <si>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</si>
  <si>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</si>
  <si>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</si>
  <si>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</si>
  <si>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</si>
  <si>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</si>
  <si>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</si>
  <si>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</si>
  <si>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</si>
  <si>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</si>
  <si>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</si>
  <si>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</si>
  <si>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</si>
  <si>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</si>
  <si>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</si>
  <si>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</si>
  <si>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</si>
  <si>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</si>
  <si>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</si>
  <si>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</si>
  <si>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</si>
  <si>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</si>
  <si>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</si>
  <si>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</si>
  <si>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</si>
  <si>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</si>
  <si>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</si>
  <si>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</si>
  <si>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</si>
  <si>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</si>
  <si>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</si>
  <si>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</si>
  <si>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</si>
  <si>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</si>
  <si>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</si>
  <si>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</si>
  <si>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</si>
  <si>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</si>
  <si>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</si>
  <si>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</si>
  <si>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</si>
  <si>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</si>
  <si>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</si>
  <si>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</si>
  <si>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</si>
  <si>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</si>
  <si>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</si>
  <si>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</si>
  <si>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</si>
  <si>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</si>
  <si>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</si>
  <si>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</si>
  <si>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</si>
  <si>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</si>
  <si>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</si>
  <si>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</si>
  <si>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</si>
  <si>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</si>
  <si>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</si>
  <si>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</si>
  <si>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</si>
  <si>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</si>
  <si>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</si>
  <si>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</si>
  <si>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</si>
  <si>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</si>
  <si>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</si>
  <si>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</si>
  <si>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</si>
  <si>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</si>
  <si>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</si>
  <si>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</si>
  <si>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</si>
  <si>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</si>
  <si>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</si>
  <si>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</si>
  <si>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</si>
  <si>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</si>
  <si>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</si>
  <si>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</si>
  <si>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</si>
  <si>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</si>
  <si>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</si>
  <si>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</si>
  <si>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</si>
  <si>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</si>
  <si>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</si>
  <si>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</si>
  <si>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</si>
  <si>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</si>
  <si>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</si>
  <si>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</si>
  <si>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</si>
  <si>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</si>
  <si>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</si>
  <si>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</si>
  <si>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</si>
  <si>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</si>
  <si>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</si>
  <si>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</si>
  <si>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</si>
  <si>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</si>
  <si>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</si>
  <si>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</si>
  <si>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</si>
  <si>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</si>
  <si>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</si>
  <si>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</si>
  <si>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</si>
  <si>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</si>
  <si>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</si>
  <si>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</si>
  <si>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</si>
  <si>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</si>
  <si>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</si>
  <si>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</si>
  <si>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</si>
  <si>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</si>
  <si>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</si>
  <si>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</si>
  <si>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</si>
  <si>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</si>
  <si>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</si>
  <si>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</si>
  <si>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</si>
  <si>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</si>
  <si>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</si>
  <si>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</si>
  <si>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</si>
  <si>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</si>
  <si>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</si>
  <si>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</si>
  <si>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</si>
  <si>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</si>
  <si>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</si>
  <si>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</si>
  <si>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</si>
  <si>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</si>
  <si>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</si>
  <si>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</si>
  <si>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</si>
  <si>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</si>
  <si>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</si>
  <si>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</si>
  <si>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</si>
  <si>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</si>
  <si>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</si>
  <si>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</si>
  <si>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</si>
  <si>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</si>
  <si>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</si>
  <si>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</si>
  <si>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</si>
  <si>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</si>
  <si>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</si>
  <si>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</si>
  <si>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</si>
  <si>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</si>
  <si>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</si>
  <si>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</si>
  <si>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</si>
  <si>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</si>
  <si>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</si>
  <si>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</si>
  <si>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</si>
  <si>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</si>
  <si>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</si>
  <si>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</si>
  <si>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</si>
  <si>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</si>
  <si>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</si>
  <si>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</si>
  <si>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</si>
  <si>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</si>
  <si>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</si>
  <si>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</si>
  <si>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</si>
  <si>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</si>
  <si>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</si>
  <si>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</si>
  <si>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</si>
  <si>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</si>
  <si>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</si>
  <si>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</si>
  <si>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</si>
  <si>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</si>
  <si>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</si>
  <si>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</si>
  <si>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</si>
  <si>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</si>
  <si>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</si>
  <si>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</si>
  <si>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</si>
  <si>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</si>
  <si>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</si>
  <si>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</si>
  <si>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</si>
  <si>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</si>
  <si>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</si>
  <si>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</si>
  <si>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</si>
  <si>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</si>
  <si>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</si>
  <si>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</si>
  <si>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</si>
  <si>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</si>
  <si>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</si>
  <si>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</si>
  <si>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</si>
  <si>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</si>
  <si>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</si>
  <si>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</si>
  <si>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</si>
  <si>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</si>
  <si>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</si>
  <si>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</si>
  <si>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</si>
  <si>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</si>
  <si>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</si>
  <si>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</si>
  <si>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</si>
  <si>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</si>
  <si>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</si>
  <si>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</si>
  <si>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</si>
  <si>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</si>
  <si>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</si>
  <si>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</si>
  <si>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</si>
  <si>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</si>
  <si>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</si>
  <si>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</si>
  <si>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</si>
  <si>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</si>
  <si>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</si>
  <si>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</si>
  <si>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</si>
  <si>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</si>
  <si>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</si>
  <si>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</si>
  <si>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</si>
  <si>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</si>
  <si>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</si>
  <si>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</si>
  <si>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</si>
  <si>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</si>
  <si>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</si>
  <si>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</si>
  <si>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</si>
  <si>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</si>
  <si>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</si>
  <si>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</si>
  <si>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</si>
  <si>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</si>
  <si>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</si>
  <si>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</si>
  <si>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</si>
  <si>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</si>
  <si>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</si>
  <si>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</si>
  <si>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</si>
  <si>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</si>
  <si>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</si>
  <si>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</si>
  <si>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</si>
  <si>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</si>
  <si>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</si>
  <si>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</si>
  <si>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</si>
  <si>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</si>
  <si>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</si>
  <si>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</si>
  <si>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</si>
  <si>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</si>
  <si>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</si>
  <si>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</si>
  <si>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</si>
  <si>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</si>
  <si>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</si>
  <si>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</si>
  <si>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</si>
  <si>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</si>
  <si>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</si>
  <si>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</si>
  <si>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</si>
  <si>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</si>
  <si>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</si>
  <si>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</si>
  <si>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</si>
  <si>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</si>
  <si>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</si>
  <si>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</si>
  <si>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</si>
  <si>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</si>
  <si>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</si>
  <si>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</si>
  <si>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</si>
  <si>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</si>
  <si>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</si>
  <si>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</si>
  <si>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</si>
  <si>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</si>
  <si>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</si>
  <si>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</si>
  <si>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</si>
  <si>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</si>
  <si>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</si>
  <si>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</si>
  <si>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</si>
  <si>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</si>
  <si>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</si>
  <si>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</si>
  <si>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</si>
  <si>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</si>
  <si>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</si>
  <si>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</si>
  <si>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</si>
  <si>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</si>
  <si>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</si>
  <si>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</si>
  <si>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</si>
  <si>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</si>
  <si>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</si>
  <si>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</si>
  <si>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</si>
  <si>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</si>
  <si>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</si>
  <si>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</si>
  <si>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</si>
  <si>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</si>
  <si>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</si>
  <si>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</si>
  <si>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</si>
  <si>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</si>
  <si>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</si>
  <si>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</si>
  <si>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</si>
  <si>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</si>
  <si>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</si>
  <si>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</si>
  <si>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</si>
  <si>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</si>
  <si>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</si>
  <si>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</si>
  <si>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</si>
  <si>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</si>
  <si>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</si>
  <si>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</si>
  <si>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</si>
  <si>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</si>
  <si>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</si>
  <si>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</si>
  <si>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</si>
  <si>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</si>
  <si>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</si>
  <si>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</si>
  <si>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</si>
  <si>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</si>
  <si>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</si>
  <si>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</si>
  <si>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</si>
  <si>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</si>
  <si>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</si>
  <si>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</si>
  <si>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</si>
  <si>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</si>
  <si>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</si>
  <si>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</si>
  <si>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</si>
  <si>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</si>
  <si>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</si>
  <si>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</si>
  <si>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</si>
  <si>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</si>
  <si>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</si>
  <si>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</si>
  <si>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</si>
  <si>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</si>
  <si>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</si>
  <si>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</si>
  <si>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</si>
  <si>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</si>
  <si>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</si>
  <si>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</si>
  <si>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</si>
  <si>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</si>
  <si>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</si>
  <si>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</si>
  <si>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</si>
  <si>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</si>
  <si>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</si>
  <si>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</si>
  <si>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</si>
  <si>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</si>
  <si>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</si>
  <si>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</si>
  <si>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</si>
  <si>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</si>
  <si>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</si>
  <si>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</si>
  <si>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</si>
  <si>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</si>
  <si>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</si>
  <si>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</si>
  <si>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</si>
  <si>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</si>
  <si>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</si>
  <si>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</si>
  <si>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</si>
  <si>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</si>
  <si>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</si>
  <si>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</si>
  <si>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</si>
  <si>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</si>
  <si>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</si>
  <si>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</si>
  <si>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</si>
  <si>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</si>
  <si>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</si>
  <si>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</si>
  <si>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</si>
  <si>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</si>
  <si>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</si>
  <si>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</si>
  <si>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</si>
  <si>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</si>
  <si>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</si>
  <si>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</si>
  <si>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</si>
  <si>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</si>
  <si>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</si>
  <si>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</si>
  <si>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</si>
  <si>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</si>
  <si>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</si>
  <si>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</si>
  <si>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</si>
  <si>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</si>
  <si>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</si>
  <si>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</si>
  <si>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</si>
  <si>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</si>
  <si>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</si>
  <si>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</si>
  <si>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</si>
  <si>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</si>
  <si>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</si>
  <si>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</si>
  <si>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</si>
  <si>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</si>
  <si>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</si>
  <si>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</si>
  <si>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</si>
  <si>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</si>
  <si>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</si>
  <si>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</si>
  <si>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</si>
  <si>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</si>
  <si>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</si>
  <si>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</si>
  <si>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</si>
  <si>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</si>
  <si>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</si>
  <si>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</si>
  <si>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</si>
  <si>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</si>
  <si>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</si>
  <si>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</si>
  <si>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</si>
  <si>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</si>
  <si>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</si>
  <si>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</si>
  <si>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</si>
  <si>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</si>
  <si>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</si>
  <si>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</si>
  <si>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</si>
  <si>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</si>
  <si>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</si>
  <si>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</si>
  <si>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</si>
  <si>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</si>
  <si>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</si>
  <si>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</si>
  <si>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</si>
  <si>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</si>
  <si>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</si>
  <si>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</si>
  <si>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</si>
  <si>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</si>
  <si>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</si>
  <si>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</si>
  <si>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</si>
  <si>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</si>
  <si>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</si>
  <si>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</si>
  <si>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</si>
  <si>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</si>
  <si>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</si>
  <si>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</si>
  <si>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</si>
  <si>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</si>
  <si>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</si>
  <si>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</si>
  <si>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</si>
  <si>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</si>
  <si>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</si>
  <si>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</si>
  <si>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</si>
  <si>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</si>
  <si>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</si>
  <si>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</si>
  <si>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</si>
  <si>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</si>
  <si>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</si>
  <si>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</si>
  <si>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</si>
  <si>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</si>
  <si>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</si>
  <si>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</si>
  <si>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</si>
  <si>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</si>
  <si>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</si>
  <si>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</si>
  <si>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</si>
  <si>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</si>
  <si>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</si>
  <si>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</si>
  <si>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</si>
  <si>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</si>
  <si>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</si>
  <si>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</si>
  <si>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</si>
  <si>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</si>
  <si>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</si>
  <si>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</si>
  <si>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</si>
  <si>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</si>
  <si>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</si>
  <si>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</si>
  <si>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</si>
  <si>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</si>
  <si>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</si>
  <si>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</si>
  <si>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</si>
  <si>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</si>
  <si>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</si>
  <si>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</si>
  <si>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</si>
  <si>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</si>
  <si>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</si>
  <si>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</si>
  <si>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</si>
  <si>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</si>
  <si>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</si>
  <si>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</si>
  <si>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</si>
  <si>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</si>
  <si>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</si>
  <si>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</si>
  <si>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</si>
  <si>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</si>
  <si>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</si>
  <si>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</si>
  <si>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</si>
  <si>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</si>
  <si>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</si>
  <si>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</si>
  <si>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</si>
  <si>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</si>
  <si>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</si>
  <si>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</si>
  <si>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</si>
  <si>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</si>
  <si>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</si>
  <si>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</si>
  <si>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</si>
  <si>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</si>
  <si>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</si>
  <si>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</si>
  <si>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</si>
  <si>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</si>
  <si>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</si>
  <si>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</si>
  <si>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</si>
  <si>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</si>
  <si>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</si>
  <si>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</si>
  <si>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</si>
  <si>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</si>
  <si>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</si>
  <si>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</si>
  <si>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</si>
  <si>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</si>
  <si>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</si>
  <si>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</si>
  <si>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</si>
  <si>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</si>
  <si>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</si>
  <si>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</si>
  <si>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</si>
  <si>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</si>
  <si>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</si>
  <si>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</si>
  <si>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</si>
  <si>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</si>
  <si>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</si>
  <si>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</si>
  <si>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</si>
  <si>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</si>
  <si>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</si>
  <si>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</si>
  <si>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</si>
  <si>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</si>
  <si>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</si>
  <si>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</si>
  <si>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</si>
  <si>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</si>
  <si>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</si>
  <si>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</si>
  <si>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</si>
  <si>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</si>
  <si>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</si>
  <si>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</si>
  <si>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</si>
  <si>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</si>
  <si>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</si>
  <si>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</si>
  <si>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</si>
  <si>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</si>
  <si>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</si>
  <si>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</si>
  <si>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</si>
  <si>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</si>
  <si>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</si>
  <si>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</si>
  <si>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</si>
  <si>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</si>
  <si>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</si>
  <si>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</si>
  <si>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</si>
  <si>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</si>
  <si>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</si>
  <si>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</si>
  <si>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</si>
  <si>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</si>
  <si>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</si>
  <si>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</si>
  <si>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</si>
  <si>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</si>
  <si>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</si>
  <si>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</si>
  <si>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</si>
  <si>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</si>
  <si>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</si>
  <si>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</si>
  <si>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</si>
  <si>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</si>
  <si>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</si>
  <si>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</si>
  <si>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</si>
  <si>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</si>
  <si>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</si>
  <si>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</si>
  <si>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</si>
  <si>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</si>
  <si>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</si>
  <si>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</si>
  <si>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</si>
  <si>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</si>
  <si>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</si>
  <si>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</si>
  <si>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</si>
  <si>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</si>
  <si>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</si>
  <si>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</si>
  <si>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</si>
  <si>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</si>
  <si>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</si>
  <si>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</si>
  <si>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</si>
  <si>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</si>
  <si>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</si>
  <si>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</si>
  <si>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</si>
  <si>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</si>
  <si>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</si>
  <si>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</si>
  <si>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</si>
  <si>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</si>
  <si>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</si>
  <si>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</si>
  <si>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</si>
  <si>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</si>
  <si>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</si>
  <si>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</si>
  <si>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</si>
  <si>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</si>
  <si>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</si>
  <si>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</si>
  <si>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</si>
  <si>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</si>
  <si>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</si>
  <si>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</si>
  <si>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</si>
  <si>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</si>
  <si>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</si>
  <si>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</si>
  <si>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</si>
  <si>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</si>
  <si>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</si>
  <si>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</si>
  <si>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</si>
  <si>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</si>
  <si>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</si>
  <si>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</si>
  <si>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</si>
  <si>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</si>
  <si>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</si>
  <si>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</si>
  <si>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</si>
  <si>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</si>
  <si>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</si>
  <si>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</si>
  <si>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</si>
  <si>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</si>
  <si>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</si>
  <si>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</si>
  <si>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</si>
  <si>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</si>
  <si>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</si>
  <si>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</si>
  <si>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</si>
  <si>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</si>
  <si>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</si>
  <si>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</si>
  <si>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</si>
  <si>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</si>
  <si>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</si>
  <si>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</si>
  <si>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</si>
  <si>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</si>
  <si>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</si>
  <si>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</si>
  <si>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</si>
  <si>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</si>
  <si>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</si>
  <si>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</si>
  <si>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</si>
  <si>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</si>
  <si>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</si>
  <si>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</si>
  <si>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</si>
  <si>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</si>
  <si>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</si>
  <si>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</si>
  <si>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</si>
  <si>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</si>
  <si>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</si>
  <si>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</si>
  <si>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</si>
  <si>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</si>
  <si>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</si>
  <si>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</si>
  <si>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</si>
  <si>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</si>
  <si>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</si>
  <si>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</si>
  <si>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</si>
  <si>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</si>
  <si>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</si>
  <si>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</si>
  <si>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</si>
  <si>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</si>
  <si>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</si>
  <si>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</si>
  <si>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</si>
  <si>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</si>
  <si>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</si>
  <si>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</si>
  <si>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</si>
  <si>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</si>
  <si>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</si>
  <si>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</si>
  <si>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</si>
  <si>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</si>
  <si>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</si>
  <si>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</si>
  <si>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</si>
  <si>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</si>
  <si>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</si>
  <si>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</si>
  <si>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</si>
  <si>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</si>
  <si>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</si>
  <si>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</si>
  <si>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</si>
  <si>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</si>
  <si>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</si>
  <si>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</si>
  <si>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</si>
  <si>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</si>
  <si>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</si>
  <si>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</si>
  <si>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</si>
  <si>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</si>
  <si>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</si>
  <si>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</si>
  <si>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</si>
  <si>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</si>
  <si>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</si>
  <si>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</si>
  <si>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</si>
  <si>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</si>
  <si>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</si>
  <si>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</si>
  <si>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</si>
  <si>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</si>
  <si>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</si>
  <si>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</si>
  <si>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</si>
  <si>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</si>
  <si>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</si>
  <si>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</si>
  <si>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</si>
  <si>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</si>
  <si>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</si>
  <si>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</si>
  <si>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</si>
  <si>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</si>
  <si>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</si>
  <si>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</si>
  <si>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</si>
  <si>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</si>
  <si>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</si>
  <si>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</si>
  <si>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</si>
  <si>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</si>
  <si>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</si>
  <si>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</si>
  <si>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</si>
  <si>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</si>
  <si>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</si>
  <si>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</si>
  <si>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</si>
  <si>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</si>
  <si>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</si>
  <si>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</si>
  <si>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</si>
  <si>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</si>
  <si>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</si>
  <si>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</si>
  <si>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</si>
  <si>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</si>
  <si>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</si>
  <si>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</si>
  <si>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</si>
  <si>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</si>
  <si>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</si>
  <si>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</si>
  <si>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</si>
  <si>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</si>
  <si>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</si>
  <si>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ĐVT</t>
  </si>
  <si>
    <t>Giá bán</t>
  </si>
  <si>
    <t>Tên sản phẩm</t>
  </si>
  <si>
    <t>Đơn vị tính</t>
  </si>
  <si>
    <t>Số Lượng</t>
  </si>
  <si>
    <t>Giá Nhập</t>
  </si>
  <si>
    <t>Giá Bán Sỉ</t>
  </si>
  <si>
    <t>Giá Bán Lẻ</t>
  </si>
  <si>
    <t>Thành Tiền</t>
  </si>
  <si>
    <t xml:space="preserve">Tên Sản Phẩm </t>
  </si>
  <si>
    <t>Tổng Tiền Nhập</t>
  </si>
  <si>
    <t>Lãi Sỉ + Lẻ</t>
  </si>
  <si>
    <t>Tên Sản Phẩm</t>
  </si>
  <si>
    <t>Tồn Kho</t>
  </si>
  <si>
    <t>Tiền Lãi Trên SP</t>
  </si>
  <si>
    <t>SL Bán Lẻ</t>
  </si>
  <si>
    <t>SL Bán Sỉ</t>
  </si>
  <si>
    <t>Thu Nhập Sỉ/Lẻ</t>
  </si>
  <si>
    <t xml:space="preserve">STT </t>
  </si>
  <si>
    <t>Tên hàng hóa</t>
  </si>
  <si>
    <t>Số lượng</t>
  </si>
  <si>
    <t>Đơn giá</t>
  </si>
  <si>
    <t>Thành tiền</t>
  </si>
  <si>
    <t>Tồn kho ban đầu</t>
  </si>
  <si>
    <t>Tồn kho sau bán</t>
  </si>
  <si>
    <t>Ghi chú</t>
  </si>
  <si>
    <t>Ngày/tháng/ năm</t>
  </si>
  <si>
    <t>Tên khách hàng</t>
  </si>
  <si>
    <t>Số điện thoại</t>
  </si>
  <si>
    <t>Địa chỉ</t>
  </si>
  <si>
    <t>Cọc TM/CK</t>
  </si>
  <si>
    <t>HÓA ĐƠN BÁN HÀNG</t>
  </si>
  <si>
    <t xml:space="preserve">Điện thoại: </t>
  </si>
  <si>
    <t>Nhà Thuốc QUỲNH ANH</t>
  </si>
  <si>
    <t>--------****---------</t>
  </si>
  <si>
    <t xml:space="preserve">Tên khách hàng: </t>
  </si>
  <si>
    <t xml:space="preserve">Địa chỉ: </t>
  </si>
  <si>
    <t>TT</t>
  </si>
  <si>
    <t>NHÓM</t>
  </si>
  <si>
    <t>TÊN HÀNG</t>
  </si>
  <si>
    <t>ĐƠN GIÁ</t>
  </si>
  <si>
    <t>THÀNH TIỀN</t>
  </si>
  <si>
    <t>TỔNG CỘNG</t>
  </si>
  <si>
    <t>Số tiền bằng chữ:</t>
  </si>
  <si>
    <t>KHÁCH HÀNG</t>
  </si>
  <si>
    <t>NGƯỜI BÁN HÀNG</t>
  </si>
  <si>
    <t>Thuốc Tây &amp; Vật Tư Y Tế</t>
  </si>
  <si>
    <t>Trang Thiết Bị Ngành Y</t>
  </si>
  <si>
    <t>ĐC: Bình Dương</t>
  </si>
  <si>
    <t>ĐT: 090 00000000</t>
  </si>
  <si>
    <t>Lai Thieu</t>
  </si>
  <si>
    <t>0912123123</t>
  </si>
  <si>
    <t>NUMB</t>
  </si>
  <si>
    <t>Nhóm Hàng</t>
  </si>
  <si>
    <t>Nguyen Le Nhu Ngoc</t>
  </si>
  <si>
    <t>GroupA</t>
  </si>
  <si>
    <t>GroupB</t>
  </si>
  <si>
    <t>GroupC</t>
  </si>
  <si>
    <t>GroupD</t>
  </si>
  <si>
    <t>GroupE</t>
  </si>
  <si>
    <t>GroupF</t>
  </si>
  <si>
    <t>GroupG</t>
  </si>
  <si>
    <t>GroupH</t>
  </si>
  <si>
    <t>GroupI</t>
  </si>
  <si>
    <t>GroupK</t>
  </si>
  <si>
    <t>GroupL</t>
  </si>
  <si>
    <t>GroupM</t>
  </si>
  <si>
    <t>GroupN</t>
  </si>
  <si>
    <t>GroupO</t>
  </si>
  <si>
    <t>GroupP</t>
  </si>
  <si>
    <t>GroupR</t>
  </si>
  <si>
    <t>GroupS</t>
  </si>
  <si>
    <t>Ecoship ( Yaguchi) -H 20G</t>
  </si>
  <si>
    <t>Dạ hương vòi</t>
  </si>
  <si>
    <t>Efelagin 500 sủi -TIỀN GIANG</t>
  </si>
  <si>
    <t>Fenofibrat 200 (H/30v)</t>
  </si>
  <si>
    <t>Farzincol - siro  90ml</t>
  </si>
  <si>
    <t>Salonship</t>
  </si>
  <si>
    <t>SL</t>
  </si>
  <si>
    <t>Gạc nhỏ</t>
  </si>
  <si>
    <t>Hà Thủ ô TW 3 3/2024</t>
  </si>
  <si>
    <t>NHAP THEM</t>
  </si>
  <si>
    <t>GroupTH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</si>
</sst>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;[Red]0"/>
    <numFmt numFmtId="166" formatCode="0.000;[Red]0.000"/>
    <numFmt numFmtId="167" formatCode="#,##0.000"/>
    <numFmt numFmtId="168" formatCode=";;;"/>
    <numFmt numFmtId="169" formatCode="_ * #,##0_ ;_ * \-#,##0_ ;_ * &quot;-&quot;??_ ;_ @_ "/>
    <numFmt numFmtId="170" formatCode="&quot;Ngày&quot;\ dd\ &quot;tháng&quot;\ mm\ &quot;năm&quot;\ yyyy"/>
  </numFmts>
  <fonts count="33" x14ac:knownFonts="1">
    <font>
      <sz val="10"/>
      <color rgb="FF000000"/>
      <name val="Times New Roman"/>
      <charset val="204"/>
    </font>
    <font>
      <b/>
      <sz val="10"/>
      <name val="Arial Narrow"/>
      <family val="2"/>
    </font>
    <font>
      <sz val="6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6"/>
      <color rgb="FFFF0000"/>
      <name val="Calibri"/>
      <family val="2"/>
    </font>
    <font>
      <sz val="11"/>
      <color rgb="FFFF0000"/>
      <name val="Calibri"/>
      <family val="2"/>
    </font>
    <font>
      <b/>
      <sz val="12"/>
      <name val="Arial Narrow"/>
      <family val="2"/>
    </font>
    <font>
      <vertAlign val="subscript"/>
      <sz val="12"/>
      <color rgb="FF006FBF"/>
      <name val="Bahnschrift"/>
      <family val="2"/>
    </font>
    <font>
      <b/>
      <sz val="12"/>
      <color rgb="FFFF0000"/>
      <name val="Arial Narrow"/>
      <family val="2"/>
    </font>
    <font>
      <b/>
      <sz val="10"/>
      <color rgb="FF006FBF"/>
      <name val="Arial Narrow"/>
      <family val="2"/>
    </font>
    <font>
      <sz val="11"/>
      <name val="Calibri"/>
      <family val="2"/>
    </font>
    <font>
      <sz val="6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name val="Calibri"/>
      <family val="2"/>
    </font>
    <font>
      <sz val="10"/>
      <color rgb="FF0099FF"/>
      <name val="Arial"/>
      <family val="2"/>
    </font>
    <font>
      <b/>
      <sz val="13"/>
      <color rgb="FF0099FF"/>
      <name val="Arial"/>
      <family val="2"/>
    </font>
    <font>
      <b/>
      <sz val="10"/>
      <color rgb="FF0099FF"/>
      <name val="Arial"/>
      <family val="2"/>
    </font>
    <font>
      <sz val="10"/>
      <color theme="3" tint="-0.249977111117893"/>
      <name val="Arial"/>
      <family val="2"/>
    </font>
    <font>
      <sz val="10"/>
      <name val=".Vn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3"/>
      <color theme="5" tint="-0.499984740745262"/>
      <name val="Arial"/>
      <family val="2"/>
    </font>
    <font>
      <b/>
      <sz val="16"/>
      <color theme="5" tint="-0.499984740745262"/>
      <name val="Arial"/>
      <family val="2"/>
    </font>
    <font>
      <sz val="10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BCB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A8D08D"/>
      </patternFill>
    </fill>
    <fill>
      <patternFill patternType="solid">
        <fgColor rgb="FFFFFF00"/>
        <bgColor rgb="FFA8D08D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theme="3" tint="0.39994506668294322"/>
      </left>
      <right style="thin">
        <color theme="3" tint="0.39994506668294322"/>
      </right>
      <top style="thin">
        <color indexed="64"/>
      </top>
      <bottom style="double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indexed="64"/>
      </top>
      <bottom style="double">
        <color theme="3" tint="0.399945066682943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22" fillId="0" borderId="0"/>
  </cellStyleXfs>
  <cellXfs count="14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10"/>
    </xf>
    <xf numFmtId="0" fontId="0" fillId="2" borderId="2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1" fontId="2" fillId="0" borderId="1" xfId="0" applyNumberFormat="1" applyFont="1" applyFill="1" applyBorder="1" applyAlignment="1">
      <alignment horizontal="right" vertical="top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164" fontId="4" fillId="0" borderId="2" xfId="0" applyNumberFormat="1" applyFont="1" applyFill="1" applyBorder="1" applyAlignment="1">
      <alignment horizontal="right" vertical="top" shrinkToFit="1"/>
    </xf>
    <xf numFmtId="164" fontId="4" fillId="0" borderId="3" xfId="0" applyNumberFormat="1" applyFont="1" applyFill="1" applyBorder="1" applyAlignment="1">
      <alignment horizontal="right" vertical="top" shrinkToFit="1"/>
    </xf>
    <xf numFmtId="1" fontId="2" fillId="0" borderId="5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Fill="1" applyBorder="1" applyAlignment="1">
      <alignment horizontal="right" vertical="center" shrinkToFit="1"/>
    </xf>
    <xf numFmtId="1" fontId="2" fillId="0" borderId="5" xfId="0" applyNumberFormat="1" applyFont="1" applyFill="1" applyBorder="1" applyAlignment="1">
      <alignment horizontal="right" vertical="center" shrinkToFit="1"/>
    </xf>
    <xf numFmtId="165" fontId="5" fillId="0" borderId="1" xfId="0" applyNumberFormat="1" applyFont="1" applyFill="1" applyBorder="1" applyAlignment="1">
      <alignment horizontal="right" vertical="center" shrinkToFit="1"/>
    </xf>
    <xf numFmtId="166" fontId="6" fillId="0" borderId="2" xfId="0" applyNumberFormat="1" applyFont="1" applyFill="1" applyBorder="1" applyAlignment="1">
      <alignment horizontal="right" vertical="top" shrinkToFit="1"/>
    </xf>
    <xf numFmtId="166" fontId="6" fillId="0" borderId="3" xfId="0" applyNumberFormat="1" applyFont="1" applyFill="1" applyBorder="1" applyAlignment="1">
      <alignment horizontal="right" vertical="top" shrinkToFit="1"/>
    </xf>
    <xf numFmtId="165" fontId="5" fillId="0" borderId="5" xfId="0" applyNumberFormat="1" applyFont="1" applyFill="1" applyBorder="1" applyAlignment="1">
      <alignment horizontal="right" vertical="center" shrinkToFi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right" vertical="top" wrapText="1" indent="1"/>
    </xf>
    <xf numFmtId="0" fontId="3" fillId="0" borderId="2" xfId="0" applyFont="1" applyFill="1" applyBorder="1" applyAlignment="1">
      <alignment horizontal="right" vertical="top" wrapText="1"/>
    </xf>
    <xf numFmtId="1" fontId="2" fillId="0" borderId="5" xfId="0" applyNumberFormat="1" applyFont="1" applyFill="1" applyBorder="1" applyAlignment="1">
      <alignment horizontal="left" vertical="top" indent="1" shrinkToFit="1"/>
    </xf>
    <xf numFmtId="165" fontId="5" fillId="0" borderId="1" xfId="0" applyNumberFormat="1" applyFont="1" applyFill="1" applyBorder="1" applyAlignment="1">
      <alignment horizontal="right" vertical="top" shrinkToFit="1"/>
    </xf>
    <xf numFmtId="165" fontId="5" fillId="0" borderId="5" xfId="0" applyNumberFormat="1" applyFont="1" applyFill="1" applyBorder="1" applyAlignment="1">
      <alignment horizontal="left" vertical="top" indent="1" shrinkToFit="1"/>
    </xf>
    <xf numFmtId="49" fontId="0" fillId="0" borderId="0" xfId="0" applyNumberFormat="1" applyFill="1" applyBorder="1" applyAlignment="1">
      <alignment horizontal="left" vertical="top"/>
    </xf>
    <xf numFmtId="49" fontId="15" fillId="0" borderId="0" xfId="0" applyNumberFormat="1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49" fontId="16" fillId="3" borderId="10" xfId="0" applyNumberFormat="1" applyFont="1" applyFill="1" applyBorder="1" applyAlignment="1">
      <alignment horizontal="center" vertical="top"/>
    </xf>
    <xf numFmtId="0" fontId="16" fillId="3" borderId="10" xfId="0" applyFont="1" applyFill="1" applyBorder="1" applyAlignment="1">
      <alignment horizontal="center" vertical="top"/>
    </xf>
    <xf numFmtId="164" fontId="4" fillId="0" borderId="3" xfId="0" applyNumberFormat="1" applyFont="1" applyFill="1" applyBorder="1" applyAlignment="1">
      <alignment vertical="top" shrinkToFit="1"/>
    </xf>
    <xf numFmtId="166" fontId="6" fillId="0" borderId="3" xfId="0" applyNumberFormat="1" applyFont="1" applyFill="1" applyBorder="1" applyAlignment="1">
      <alignment vertical="top" shrinkToFit="1"/>
    </xf>
    <xf numFmtId="164" fontId="4" fillId="0" borderId="2" xfId="0" applyNumberFormat="1" applyFont="1" applyFill="1" applyBorder="1" applyAlignment="1">
      <alignment vertical="top" shrinkToFit="1"/>
    </xf>
    <xf numFmtId="166" fontId="6" fillId="0" borderId="2" xfId="0" applyNumberFormat="1" applyFont="1" applyFill="1" applyBorder="1" applyAlignment="1">
      <alignment vertical="top" shrinkToFit="1"/>
    </xf>
    <xf numFmtId="0" fontId="16" fillId="4" borderId="2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1" xfId="0" applyFont="1" applyFill="1" applyBorder="1"/>
    <xf numFmtId="0" fontId="3" fillId="0" borderId="10" xfId="0" applyFont="1" applyFill="1" applyBorder="1" applyAlignment="1">
      <alignment horizontal="left" vertical="top" wrapText="1"/>
    </xf>
    <xf numFmtId="167" fontId="4" fillId="0" borderId="10" xfId="0" applyNumberFormat="1" applyFont="1" applyFill="1" applyBorder="1" applyAlignment="1">
      <alignment vertical="top" shrinkToFit="1"/>
    </xf>
    <xf numFmtId="167" fontId="3" fillId="0" borderId="10" xfId="0" applyNumberFormat="1" applyFont="1" applyFill="1" applyBorder="1" applyAlignment="1">
      <alignment horizontal="left" vertical="top" wrapText="1"/>
    </xf>
    <xf numFmtId="0" fontId="16" fillId="5" borderId="10" xfId="0" applyFont="1" applyFill="1" applyBorder="1"/>
    <xf numFmtId="167" fontId="15" fillId="0" borderId="0" xfId="0" applyNumberFormat="1" applyFont="1" applyFill="1" applyBorder="1" applyAlignment="1">
      <alignment horizontal="left" vertical="top"/>
    </xf>
    <xf numFmtId="167" fontId="17" fillId="6" borderId="10" xfId="0" applyNumberFormat="1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69" fontId="18" fillId="0" borderId="0" xfId="1" applyNumberFormat="1" applyFont="1" applyAlignment="1">
      <alignment vertical="center"/>
    </xf>
    <xf numFmtId="169" fontId="21" fillId="0" borderId="0" xfId="1" applyNumberFormat="1" applyFont="1" applyAlignment="1">
      <alignment vertical="center"/>
    </xf>
    <xf numFmtId="0" fontId="11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169" fontId="18" fillId="0" borderId="0" xfId="1" applyNumberFormat="1" applyFont="1" applyAlignment="1">
      <alignment horizontal="center" vertical="center"/>
    </xf>
    <xf numFmtId="0" fontId="13" fillId="0" borderId="0" xfId="0" applyFont="1" applyFill="1" applyBorder="1" applyAlignment="1">
      <alignment horizontal="left" vertical="top"/>
    </xf>
    <xf numFmtId="0" fontId="19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169" fontId="21" fillId="0" borderId="0" xfId="1" applyNumberFormat="1" applyFont="1" applyAlignment="1">
      <alignment horizontal="center" vertical="center"/>
    </xf>
    <xf numFmtId="0" fontId="0" fillId="0" borderId="0" xfId="0" applyNumberForma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164" fontId="4" fillId="0" borderId="17" xfId="0" applyNumberFormat="1" applyFont="1" applyFill="1" applyBorder="1" applyAlignment="1">
      <alignment horizontal="center" vertical="top" shrinkToFit="1"/>
    </xf>
    <xf numFmtId="0" fontId="23" fillId="0" borderId="10" xfId="0" applyFont="1" applyBorder="1" applyAlignment="1">
      <alignment vertical="center"/>
    </xf>
    <xf numFmtId="0" fontId="23" fillId="0" borderId="10" xfId="1" applyNumberFormat="1" applyFont="1" applyBorder="1" applyAlignment="1">
      <alignment horizontal="center" vertical="center"/>
    </xf>
    <xf numFmtId="168" fontId="21" fillId="0" borderId="10" xfId="0" applyNumberFormat="1" applyFont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168" fontId="24" fillId="7" borderId="15" xfId="0" applyNumberFormat="1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/>
    </xf>
    <xf numFmtId="0" fontId="24" fillId="7" borderId="15" xfId="0" applyNumberFormat="1" applyFont="1" applyFill="1" applyBorder="1" applyAlignment="1">
      <alignment horizontal="center" vertical="center"/>
    </xf>
    <xf numFmtId="169" fontId="24" fillId="7" borderId="15" xfId="1" applyNumberFormat="1" applyFont="1" applyFill="1" applyBorder="1" applyAlignment="1">
      <alignment horizontal="center" vertical="center"/>
    </xf>
    <xf numFmtId="169" fontId="24" fillId="7" borderId="16" xfId="1" applyNumberFormat="1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4" fillId="0" borderId="13" xfId="0" applyNumberFormat="1" applyFont="1" applyBorder="1" applyAlignment="1">
      <alignment horizontal="center" vertical="center"/>
    </xf>
    <xf numFmtId="169" fontId="24" fillId="0" borderId="13" xfId="1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top" wrapText="1"/>
    </xf>
    <xf numFmtId="3" fontId="0" fillId="0" borderId="0" xfId="0" applyNumberFormat="1" applyFill="1" applyBorder="1" applyAlignment="1">
      <alignment horizontal="left" vertical="top"/>
    </xf>
    <xf numFmtId="3" fontId="4" fillId="0" borderId="3" xfId="0" applyNumberFormat="1" applyFont="1" applyFill="1" applyBorder="1" applyAlignment="1">
      <alignment vertical="top" shrinkToFit="1"/>
    </xf>
    <xf numFmtId="3" fontId="6" fillId="0" borderId="3" xfId="0" applyNumberFormat="1" applyFont="1" applyFill="1" applyBorder="1" applyAlignment="1">
      <alignment vertical="top" shrinkToFit="1"/>
    </xf>
    <xf numFmtId="3" fontId="4" fillId="0" borderId="3" xfId="0" applyNumberFormat="1" applyFont="1" applyFill="1" applyBorder="1" applyAlignment="1">
      <alignment horizontal="right" vertical="top" shrinkToFit="1"/>
    </xf>
    <xf numFmtId="3" fontId="6" fillId="0" borderId="3" xfId="0" applyNumberFormat="1" applyFont="1" applyFill="1" applyBorder="1" applyAlignment="1">
      <alignment horizontal="right" vertical="top" shrinkToFit="1"/>
    </xf>
    <xf numFmtId="3" fontId="4" fillId="0" borderId="2" xfId="0" applyNumberFormat="1" applyFont="1" applyFill="1" applyBorder="1" applyAlignment="1">
      <alignment vertical="top" shrinkToFit="1"/>
    </xf>
    <xf numFmtId="3" fontId="6" fillId="0" borderId="2" xfId="0" applyNumberFormat="1" applyFont="1" applyFill="1" applyBorder="1" applyAlignment="1">
      <alignment vertical="top" shrinkToFit="1"/>
    </xf>
    <xf numFmtId="3" fontId="4" fillId="0" borderId="2" xfId="0" applyNumberFormat="1" applyFont="1" applyFill="1" applyBorder="1" applyAlignment="1">
      <alignment horizontal="right" vertical="top" shrinkToFit="1"/>
    </xf>
    <xf numFmtId="3" fontId="6" fillId="0" borderId="2" xfId="0" applyNumberFormat="1" applyFont="1" applyFill="1" applyBorder="1" applyAlignment="1">
      <alignment horizontal="right" vertical="top" shrinkToFit="1"/>
    </xf>
    <xf numFmtId="0" fontId="23" fillId="0" borderId="0" xfId="0" applyFon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NumberFormat="1" applyFont="1" applyAlignment="1">
      <alignment horizontal="center" vertical="center"/>
    </xf>
    <xf numFmtId="169" fontId="23" fillId="0" borderId="0" xfId="1" applyNumberFormat="1" applyFont="1" applyAlignment="1">
      <alignment horizontal="center" vertical="center"/>
    </xf>
    <xf numFmtId="169" fontId="23" fillId="0" borderId="0" xfId="1" applyNumberFormat="1" applyFont="1" applyAlignment="1">
      <alignment vertical="center"/>
    </xf>
    <xf numFmtId="0" fontId="31" fillId="0" borderId="0" xfId="0" applyNumberFormat="1" applyFont="1" applyAlignment="1">
      <alignment horizontal="center" vertical="center"/>
    </xf>
    <xf numFmtId="170" fontId="30" fillId="0" borderId="0" xfId="1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left" vertical="top" wrapText="1"/>
    </xf>
    <xf numFmtId="3" fontId="6" fillId="0" borderId="0" xfId="0" applyNumberFormat="1" applyFont="1" applyFill="1" applyBorder="1" applyAlignment="1">
      <alignment horizontal="right" vertical="top" shrinkToFit="1"/>
    </xf>
    <xf numFmtId="3" fontId="4" fillId="0" borderId="0" xfId="0" applyNumberFormat="1" applyFont="1" applyFill="1" applyBorder="1" applyAlignment="1">
      <alignment vertical="top" shrinkToFit="1"/>
    </xf>
    <xf numFmtId="0" fontId="1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 indent="10"/>
    </xf>
    <xf numFmtId="0" fontId="1" fillId="2" borderId="4" xfId="0" applyFont="1" applyFill="1" applyBorder="1" applyAlignment="1">
      <alignment horizontal="left" vertical="top" wrapText="1" indent="10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164" fontId="4" fillId="0" borderId="3" xfId="0" applyNumberFormat="1" applyFont="1" applyFill="1" applyBorder="1" applyAlignment="1">
      <alignment horizontal="right" vertical="top" shrinkToFit="1"/>
    </xf>
    <xf numFmtId="164" fontId="4" fillId="0" borderId="4" xfId="0" applyNumberFormat="1" applyFont="1" applyFill="1" applyBorder="1" applyAlignment="1">
      <alignment horizontal="right" vertical="top" shrinkToFit="1"/>
    </xf>
    <xf numFmtId="166" fontId="6" fillId="0" borderId="3" xfId="0" applyNumberFormat="1" applyFont="1" applyFill="1" applyBorder="1" applyAlignment="1">
      <alignment horizontal="right" vertical="top" shrinkToFit="1"/>
    </xf>
    <xf numFmtId="166" fontId="6" fillId="0" borderId="4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164" fontId="4" fillId="0" borderId="6" xfId="0" applyNumberFormat="1" applyFont="1" applyFill="1" applyBorder="1" applyAlignment="1">
      <alignment horizontal="left" vertical="top" indent="2" shrinkToFit="1"/>
    </xf>
    <xf numFmtId="164" fontId="4" fillId="0" borderId="7" xfId="0" applyNumberFormat="1" applyFont="1" applyFill="1" applyBorder="1" applyAlignment="1">
      <alignment horizontal="left" vertical="top" indent="2" shrinkToFit="1"/>
    </xf>
    <xf numFmtId="164" fontId="4" fillId="0" borderId="8" xfId="0" applyNumberFormat="1" applyFont="1" applyFill="1" applyBorder="1" applyAlignment="1">
      <alignment horizontal="left" vertical="top" indent="2" shrinkToFit="1"/>
    </xf>
    <xf numFmtId="164" fontId="4" fillId="0" borderId="9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21" fillId="0" borderId="0" xfId="0" applyFont="1" applyAlignment="1">
      <alignment horizontal="left" vertical="center"/>
    </xf>
    <xf numFmtId="169" fontId="29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9" fontId="27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169" fontId="28" fillId="0" borderId="0" xfId="1" quotePrefix="1" applyNumberFormat="1" applyFont="1" applyAlignment="1">
      <alignment horizontal="center" vertical="center"/>
    </xf>
    <xf numFmtId="169" fontId="28" fillId="0" borderId="0" xfId="1" applyNumberFormat="1" applyFont="1" applyAlignment="1">
      <alignment horizontal="center" vertical="center"/>
    </xf>
    <xf numFmtId="169" fontId="29" fillId="0" borderId="0" xfId="1" quotePrefix="1" applyNumberFormat="1" applyFont="1" applyAlignment="1">
      <alignment horizontal="center" vertical="center"/>
    </xf>
    <xf numFmtId="170" fontId="30" fillId="0" borderId="0" xfId="1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9" fontId="31" fillId="0" borderId="0" xfId="1" applyNumberFormat="1" applyFont="1" applyAlignment="1">
      <alignment horizontal="center" vertical="center"/>
    </xf>
    <xf numFmtId="169" fontId="21" fillId="0" borderId="0" xfId="1" applyNumberFormat="1" applyFont="1" applyAlignment="1">
      <alignment horizontal="left" vertical="center"/>
    </xf>
    <xf numFmtId="49" fontId="21" fillId="0" borderId="0" xfId="1" applyNumberFormat="1" applyFont="1" applyAlignment="1">
      <alignment horizontal="left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NI+VNI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UN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7"/>
  <sheetViews>
    <sheetView workbookViewId="0">
      <selection activeCell="F3" sqref="F3:G3"/>
    </sheetView>
  </sheetViews>
  <sheetFormatPr defaultRowHeight="12.75" x14ac:dyDescent="0.2"/>
  <cols>
    <col min="1" max="1" width="4.6640625" customWidth="1"/>
    <col min="2" max="2" width="33.83203125" customWidth="1"/>
    <col min="3" max="3" width="4.6640625" customWidth="1"/>
    <col min="4" max="4" width="2.1640625" customWidth="1"/>
    <col min="5" max="5" width="4.6640625" customWidth="1"/>
    <col min="6" max="6" width="8" customWidth="1"/>
    <col min="7" max="7" width="3.33203125" customWidth="1"/>
    <col min="8" max="8" width="6.83203125" customWidth="1"/>
    <col min="9" max="9" width="39.5" customWidth="1"/>
    <col min="10" max="10" width="6.83203125" customWidth="1"/>
    <col min="11" max="11" width="11.5" customWidth="1"/>
    <col min="12" max="12" width="3.33203125" customWidth="1"/>
    <col min="13" max="13" width="2.1640625" customWidth="1"/>
  </cols>
  <sheetData>
    <row r="1" spans="1:13" ht="41.45" customHeight="1" x14ac:dyDescent="0.2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14.25" customHeight="1" x14ac:dyDescent="0.2">
      <c r="A2" s="1"/>
      <c r="B2" s="97" t="s">
        <v>1</v>
      </c>
      <c r="C2" s="98"/>
      <c r="D2" s="99"/>
      <c r="E2" s="100"/>
      <c r="F2" s="99"/>
      <c r="G2" s="100"/>
      <c r="H2" s="4"/>
      <c r="I2" s="2" t="s">
        <v>1</v>
      </c>
      <c r="J2" s="3"/>
      <c r="K2" s="3"/>
      <c r="L2" s="101"/>
      <c r="M2" s="101"/>
    </row>
    <row r="3" spans="1:13" ht="16.5" customHeight="1" x14ac:dyDescent="0.2">
      <c r="A3" s="6">
        <v>1</v>
      </c>
      <c r="B3" s="102" t="s">
        <v>2</v>
      </c>
      <c r="C3" s="103"/>
      <c r="D3" s="102" t="s">
        <v>3</v>
      </c>
      <c r="E3" s="103"/>
      <c r="F3" s="104">
        <v>26.5</v>
      </c>
      <c r="G3" s="105"/>
      <c r="H3" s="11">
        <v>53</v>
      </c>
      <c r="I3" s="7" t="s">
        <v>4</v>
      </c>
      <c r="J3" s="7" t="s">
        <v>3</v>
      </c>
      <c r="K3" s="9">
        <v>121</v>
      </c>
      <c r="L3" s="101"/>
      <c r="M3" s="101"/>
    </row>
    <row r="4" spans="1:13" ht="16.5" customHeight="1" x14ac:dyDescent="0.2">
      <c r="A4" s="6">
        <v>2</v>
      </c>
      <c r="B4" s="102" t="s">
        <v>5</v>
      </c>
      <c r="C4" s="103"/>
      <c r="D4" s="102" t="s">
        <v>6</v>
      </c>
      <c r="E4" s="103"/>
      <c r="F4" s="104">
        <v>37</v>
      </c>
      <c r="G4" s="105"/>
      <c r="H4" s="11">
        <v>54</v>
      </c>
      <c r="I4" s="7" t="s">
        <v>7</v>
      </c>
      <c r="J4" s="7" t="s">
        <v>6</v>
      </c>
      <c r="K4" s="9">
        <v>142</v>
      </c>
      <c r="L4" s="101"/>
      <c r="M4" s="101"/>
    </row>
    <row r="5" spans="1:13" ht="16.5" customHeight="1" x14ac:dyDescent="0.2">
      <c r="A5" s="6">
        <v>3</v>
      </c>
      <c r="B5" s="102" t="s">
        <v>8</v>
      </c>
      <c r="C5" s="103"/>
      <c r="D5" s="102" t="s">
        <v>6</v>
      </c>
      <c r="E5" s="103"/>
      <c r="F5" s="104">
        <v>13</v>
      </c>
      <c r="G5" s="105"/>
      <c r="H5" s="11">
        <v>55</v>
      </c>
      <c r="I5" s="7" t="s">
        <v>9</v>
      </c>
      <c r="J5" s="7" t="s">
        <v>6</v>
      </c>
      <c r="K5" s="9">
        <v>157</v>
      </c>
      <c r="L5" s="101"/>
      <c r="M5" s="101"/>
    </row>
    <row r="6" spans="1:13" ht="16.5" customHeight="1" x14ac:dyDescent="0.2">
      <c r="A6" s="6">
        <v>4</v>
      </c>
      <c r="B6" s="102" t="s">
        <v>10</v>
      </c>
      <c r="C6" s="103"/>
      <c r="D6" s="102" t="s">
        <v>6</v>
      </c>
      <c r="E6" s="103"/>
      <c r="F6" s="104">
        <v>61.8</v>
      </c>
      <c r="G6" s="105"/>
      <c r="H6" s="11">
        <v>56</v>
      </c>
      <c r="I6" s="7" t="s">
        <v>11</v>
      </c>
      <c r="J6" s="7" t="s">
        <v>12</v>
      </c>
      <c r="K6" s="9">
        <v>76</v>
      </c>
      <c r="L6" s="101"/>
      <c r="M6" s="101"/>
    </row>
    <row r="7" spans="1:13" ht="16.5" customHeight="1" x14ac:dyDescent="0.2">
      <c r="A7" s="6">
        <v>5</v>
      </c>
      <c r="B7" s="102" t="s">
        <v>13</v>
      </c>
      <c r="C7" s="103"/>
      <c r="D7" s="102" t="s">
        <v>6</v>
      </c>
      <c r="E7" s="103"/>
      <c r="F7" s="104">
        <v>25</v>
      </c>
      <c r="G7" s="105"/>
      <c r="H7" s="11">
        <v>57</v>
      </c>
      <c r="I7" s="7" t="s">
        <v>14</v>
      </c>
      <c r="J7" s="7" t="s">
        <v>3</v>
      </c>
      <c r="K7" s="9">
        <v>33</v>
      </c>
      <c r="L7" s="101"/>
      <c r="M7" s="101"/>
    </row>
    <row r="8" spans="1:13" ht="16.5" customHeight="1" x14ac:dyDescent="0.2">
      <c r="A8" s="6">
        <v>6</v>
      </c>
      <c r="B8" s="102" t="s">
        <v>15</v>
      </c>
      <c r="C8" s="103"/>
      <c r="D8" s="102" t="s">
        <v>3</v>
      </c>
      <c r="E8" s="103"/>
      <c r="F8" s="104">
        <v>9.5</v>
      </c>
      <c r="G8" s="105"/>
      <c r="H8" s="11">
        <v>58</v>
      </c>
      <c r="I8" s="7" t="s">
        <v>16</v>
      </c>
      <c r="J8" s="7" t="s">
        <v>3</v>
      </c>
      <c r="K8" s="9">
        <v>19</v>
      </c>
      <c r="L8" s="101"/>
      <c r="M8" s="101"/>
    </row>
    <row r="9" spans="1:13" ht="16.5" customHeight="1" x14ac:dyDescent="0.2">
      <c r="A9" s="6">
        <v>7</v>
      </c>
      <c r="B9" s="102" t="s">
        <v>17</v>
      </c>
      <c r="C9" s="103"/>
      <c r="D9" s="102" t="s">
        <v>6</v>
      </c>
      <c r="E9" s="103"/>
      <c r="F9" s="104">
        <v>52</v>
      </c>
      <c r="G9" s="105"/>
      <c r="H9" s="11">
        <v>59</v>
      </c>
      <c r="I9" s="7" t="s">
        <v>18</v>
      </c>
      <c r="J9" s="7" t="s">
        <v>6</v>
      </c>
      <c r="K9" s="9">
        <v>40</v>
      </c>
      <c r="L9" s="101"/>
      <c r="M9" s="101"/>
    </row>
    <row r="10" spans="1:13" ht="16.5" customHeight="1" x14ac:dyDescent="0.2">
      <c r="A10" s="6">
        <v>8</v>
      </c>
      <c r="B10" s="102" t="s">
        <v>19</v>
      </c>
      <c r="C10" s="103"/>
      <c r="D10" s="102" t="s">
        <v>6</v>
      </c>
      <c r="E10" s="103"/>
      <c r="F10" s="104">
        <v>66</v>
      </c>
      <c r="G10" s="105"/>
      <c r="H10" s="11">
        <v>60</v>
      </c>
      <c r="I10" s="7" t="s">
        <v>20</v>
      </c>
      <c r="J10" s="7" t="s">
        <v>6</v>
      </c>
      <c r="K10" s="9">
        <v>337</v>
      </c>
      <c r="L10" s="101"/>
      <c r="M10" s="101"/>
    </row>
    <row r="11" spans="1:13" ht="16.5" customHeight="1" x14ac:dyDescent="0.2">
      <c r="A11" s="6">
        <v>9</v>
      </c>
      <c r="B11" s="102" t="s">
        <v>21</v>
      </c>
      <c r="C11" s="103"/>
      <c r="D11" s="102" t="s">
        <v>6</v>
      </c>
      <c r="E11" s="103"/>
      <c r="F11" s="104">
        <v>92</v>
      </c>
      <c r="G11" s="105"/>
      <c r="H11" s="11">
        <v>61</v>
      </c>
      <c r="I11" s="7" t="s">
        <v>22</v>
      </c>
      <c r="J11" s="7" t="s">
        <v>6</v>
      </c>
      <c r="K11" s="9">
        <v>13</v>
      </c>
      <c r="L11" s="101"/>
      <c r="M11" s="101"/>
    </row>
    <row r="12" spans="1:13" ht="16.5" customHeight="1" x14ac:dyDescent="0.2">
      <c r="A12" s="6">
        <v>10</v>
      </c>
      <c r="B12" s="102" t="s">
        <v>23</v>
      </c>
      <c r="C12" s="103"/>
      <c r="D12" s="102" t="s">
        <v>6</v>
      </c>
      <c r="E12" s="103"/>
      <c r="F12" s="104">
        <v>50</v>
      </c>
      <c r="G12" s="105"/>
      <c r="H12" s="11">
        <v>62</v>
      </c>
      <c r="I12" s="7" t="s">
        <v>24</v>
      </c>
      <c r="J12" s="7" t="s">
        <v>6</v>
      </c>
      <c r="K12" s="9">
        <v>85</v>
      </c>
      <c r="L12" s="101"/>
      <c r="M12" s="101"/>
    </row>
    <row r="13" spans="1:13" ht="16.5" customHeight="1" x14ac:dyDescent="0.2">
      <c r="A13" s="6">
        <v>11</v>
      </c>
      <c r="B13" s="102" t="s">
        <v>25</v>
      </c>
      <c r="C13" s="103"/>
      <c r="D13" s="102" t="s">
        <v>3</v>
      </c>
      <c r="E13" s="103"/>
      <c r="F13" s="104">
        <v>38</v>
      </c>
      <c r="G13" s="105"/>
      <c r="H13" s="11">
        <v>63</v>
      </c>
      <c r="I13" s="7" t="s">
        <v>26</v>
      </c>
      <c r="J13" s="7" t="s">
        <v>6</v>
      </c>
      <c r="K13" s="9">
        <v>21</v>
      </c>
      <c r="L13" s="101"/>
      <c r="M13" s="101"/>
    </row>
    <row r="14" spans="1:13" ht="16.5" customHeight="1" x14ac:dyDescent="0.2">
      <c r="A14" s="6">
        <v>12</v>
      </c>
      <c r="B14" s="102" t="s">
        <v>27</v>
      </c>
      <c r="C14" s="103"/>
      <c r="D14" s="102" t="s">
        <v>6</v>
      </c>
      <c r="E14" s="103"/>
      <c r="F14" s="104">
        <v>33.700000000000003</v>
      </c>
      <c r="G14" s="105"/>
      <c r="H14" s="11">
        <v>64</v>
      </c>
      <c r="I14" s="7" t="s">
        <v>28</v>
      </c>
      <c r="J14" s="7" t="s">
        <v>3</v>
      </c>
      <c r="K14" s="9">
        <v>40</v>
      </c>
      <c r="L14" s="101"/>
      <c r="M14" s="101"/>
    </row>
    <row r="15" spans="1:13" ht="16.5" customHeight="1" x14ac:dyDescent="0.2">
      <c r="A15" s="6">
        <v>13</v>
      </c>
      <c r="B15" s="102" t="s">
        <v>29</v>
      </c>
      <c r="C15" s="103"/>
      <c r="D15" s="102" t="s">
        <v>6</v>
      </c>
      <c r="E15" s="103"/>
      <c r="F15" s="104">
        <v>44</v>
      </c>
      <c r="G15" s="105"/>
      <c r="H15" s="11">
        <v>65</v>
      </c>
      <c r="I15" s="7" t="s">
        <v>30</v>
      </c>
      <c r="J15" s="7" t="s">
        <v>6</v>
      </c>
      <c r="K15" s="9">
        <v>35</v>
      </c>
      <c r="L15" s="101"/>
      <c r="M15" s="101"/>
    </row>
    <row r="16" spans="1:13" ht="16.5" customHeight="1" x14ac:dyDescent="0.2">
      <c r="A16" s="12">
        <v>14</v>
      </c>
      <c r="B16" s="102" t="s">
        <v>31</v>
      </c>
      <c r="C16" s="103"/>
      <c r="D16" s="102" t="s">
        <v>6</v>
      </c>
      <c r="E16" s="103"/>
      <c r="F16" s="104">
        <v>54</v>
      </c>
      <c r="G16" s="105"/>
      <c r="H16" s="13">
        <v>66</v>
      </c>
      <c r="I16" s="7" t="s">
        <v>32</v>
      </c>
      <c r="J16" s="7" t="s">
        <v>3</v>
      </c>
      <c r="K16" s="9">
        <v>14</v>
      </c>
      <c r="L16" s="101"/>
      <c r="M16" s="101"/>
    </row>
    <row r="17" spans="1:13" ht="16.5" customHeight="1" x14ac:dyDescent="0.2">
      <c r="A17" s="6">
        <v>15</v>
      </c>
      <c r="B17" s="102" t="s">
        <v>33</v>
      </c>
      <c r="C17" s="103"/>
      <c r="D17" s="102" t="s">
        <v>6</v>
      </c>
      <c r="E17" s="103"/>
      <c r="F17" s="104">
        <v>57</v>
      </c>
      <c r="G17" s="105"/>
      <c r="H17" s="11">
        <v>67</v>
      </c>
      <c r="I17" s="7" t="s">
        <v>34</v>
      </c>
      <c r="J17" s="7" t="s">
        <v>3</v>
      </c>
      <c r="K17" s="9">
        <v>13.6</v>
      </c>
      <c r="L17" s="101"/>
      <c r="M17" s="101"/>
    </row>
    <row r="18" spans="1:13" ht="16.5" customHeight="1" x14ac:dyDescent="0.2">
      <c r="A18" s="12">
        <v>16</v>
      </c>
      <c r="B18" s="102" t="s">
        <v>35</v>
      </c>
      <c r="C18" s="103"/>
      <c r="D18" s="102" t="s">
        <v>6</v>
      </c>
      <c r="E18" s="103"/>
      <c r="F18" s="104">
        <v>32</v>
      </c>
      <c r="G18" s="105"/>
      <c r="H18" s="13">
        <v>68</v>
      </c>
      <c r="I18" s="7" t="s">
        <v>36</v>
      </c>
      <c r="J18" s="7" t="s">
        <v>37</v>
      </c>
      <c r="K18" s="9">
        <v>125</v>
      </c>
      <c r="L18" s="101"/>
      <c r="M18" s="101"/>
    </row>
    <row r="19" spans="1:13" ht="16.5" customHeight="1" x14ac:dyDescent="0.2">
      <c r="A19" s="6">
        <v>17</v>
      </c>
      <c r="B19" s="102" t="s">
        <v>38</v>
      </c>
      <c r="C19" s="103"/>
      <c r="D19" s="102" t="s">
        <v>6</v>
      </c>
      <c r="E19" s="103"/>
      <c r="F19" s="104">
        <v>31.5</v>
      </c>
      <c r="G19" s="105"/>
      <c r="H19" s="11">
        <v>69</v>
      </c>
      <c r="I19" s="7" t="s">
        <v>39</v>
      </c>
      <c r="J19" s="7" t="s">
        <v>37</v>
      </c>
      <c r="K19" s="9">
        <v>55</v>
      </c>
      <c r="L19" s="101"/>
      <c r="M19" s="101"/>
    </row>
    <row r="20" spans="1:13" ht="16.5" customHeight="1" x14ac:dyDescent="0.2">
      <c r="A20" s="12">
        <v>18</v>
      </c>
      <c r="B20" s="102" t="s">
        <v>40</v>
      </c>
      <c r="C20" s="103"/>
      <c r="D20" s="102" t="s">
        <v>6</v>
      </c>
      <c r="E20" s="103"/>
      <c r="F20" s="104">
        <v>84</v>
      </c>
      <c r="G20" s="105"/>
      <c r="H20" s="13">
        <v>70</v>
      </c>
      <c r="I20" s="7" t="s">
        <v>41</v>
      </c>
      <c r="J20" s="7" t="s">
        <v>6</v>
      </c>
      <c r="K20" s="9">
        <v>43</v>
      </c>
      <c r="L20" s="101"/>
      <c r="M20" s="101"/>
    </row>
    <row r="21" spans="1:13" ht="16.5" customHeight="1" x14ac:dyDescent="0.2">
      <c r="A21" s="6">
        <v>19</v>
      </c>
      <c r="B21" s="102" t="s">
        <v>42</v>
      </c>
      <c r="C21" s="103"/>
      <c r="D21" s="102" t="s">
        <v>6</v>
      </c>
      <c r="E21" s="103"/>
      <c r="F21" s="104">
        <v>133</v>
      </c>
      <c r="G21" s="105"/>
      <c r="H21" s="11">
        <v>71</v>
      </c>
      <c r="I21" s="7" t="s">
        <v>43</v>
      </c>
      <c r="J21" s="7" t="s">
        <v>6</v>
      </c>
      <c r="K21" s="9">
        <v>30</v>
      </c>
      <c r="L21" s="101"/>
      <c r="M21" s="101"/>
    </row>
    <row r="22" spans="1:13" ht="16.5" customHeight="1" x14ac:dyDescent="0.2">
      <c r="A22" s="12">
        <v>20</v>
      </c>
      <c r="B22" s="102" t="s">
        <v>44</v>
      </c>
      <c r="C22" s="103"/>
      <c r="D22" s="102" t="s">
        <v>45</v>
      </c>
      <c r="E22" s="103"/>
      <c r="F22" s="104">
        <v>16</v>
      </c>
      <c r="G22" s="105"/>
      <c r="H22" s="13">
        <v>72</v>
      </c>
      <c r="I22" s="7" t="s">
        <v>46</v>
      </c>
      <c r="J22" s="7" t="s">
        <v>3</v>
      </c>
      <c r="K22" s="9">
        <v>23</v>
      </c>
      <c r="L22" s="101"/>
      <c r="M22" s="101"/>
    </row>
    <row r="23" spans="1:13" ht="16.5" customHeight="1" x14ac:dyDescent="0.2">
      <c r="A23" s="6">
        <v>21</v>
      </c>
      <c r="B23" s="102" t="s">
        <v>47</v>
      </c>
      <c r="C23" s="103"/>
      <c r="D23" s="102" t="s">
        <v>6</v>
      </c>
      <c r="E23" s="103"/>
      <c r="F23" s="104">
        <v>19</v>
      </c>
      <c r="G23" s="105"/>
      <c r="H23" s="11">
        <v>73</v>
      </c>
      <c r="I23" s="7" t="s">
        <v>48</v>
      </c>
      <c r="J23" s="7" t="s">
        <v>6</v>
      </c>
      <c r="K23" s="9">
        <v>23</v>
      </c>
      <c r="L23" s="101"/>
      <c r="M23" s="101"/>
    </row>
    <row r="24" spans="1:13" ht="16.5" customHeight="1" x14ac:dyDescent="0.2">
      <c r="A24" s="12">
        <v>22</v>
      </c>
      <c r="B24" s="102" t="s">
        <v>49</v>
      </c>
      <c r="C24" s="103"/>
      <c r="D24" s="102" t="s">
        <v>6</v>
      </c>
      <c r="E24" s="103"/>
      <c r="F24" s="104">
        <v>29</v>
      </c>
      <c r="G24" s="105"/>
      <c r="H24" s="13">
        <v>74</v>
      </c>
      <c r="I24" s="7" t="s">
        <v>50</v>
      </c>
      <c r="J24" s="7" t="s">
        <v>6</v>
      </c>
      <c r="K24" s="9">
        <v>24</v>
      </c>
      <c r="L24" s="101"/>
      <c r="M24" s="101"/>
    </row>
    <row r="25" spans="1:13" ht="16.5" customHeight="1" x14ac:dyDescent="0.2">
      <c r="A25" s="6">
        <v>23</v>
      </c>
      <c r="B25" s="102" t="s">
        <v>51</v>
      </c>
      <c r="C25" s="103"/>
      <c r="D25" s="102" t="s">
        <v>6</v>
      </c>
      <c r="E25" s="103"/>
      <c r="F25" s="104">
        <v>70</v>
      </c>
      <c r="G25" s="105"/>
      <c r="H25" s="11">
        <v>75</v>
      </c>
      <c r="I25" s="7" t="s">
        <v>52</v>
      </c>
      <c r="J25" s="7" t="s">
        <v>6</v>
      </c>
      <c r="K25" s="9">
        <v>45</v>
      </c>
      <c r="L25" s="101"/>
      <c r="M25" s="101"/>
    </row>
    <row r="26" spans="1:13" ht="16.5" customHeight="1" x14ac:dyDescent="0.2">
      <c r="A26" s="12">
        <v>24</v>
      </c>
      <c r="B26" s="102" t="s">
        <v>53</v>
      </c>
      <c r="C26" s="103"/>
      <c r="D26" s="102" t="s">
        <v>3</v>
      </c>
      <c r="E26" s="103"/>
      <c r="F26" s="104">
        <v>43</v>
      </c>
      <c r="G26" s="105"/>
      <c r="H26" s="13">
        <v>76</v>
      </c>
      <c r="I26" s="7" t="s">
        <v>54</v>
      </c>
      <c r="J26" s="7" t="s">
        <v>6</v>
      </c>
      <c r="K26" s="9">
        <v>65</v>
      </c>
      <c r="L26" s="101"/>
      <c r="M26" s="101"/>
    </row>
    <row r="27" spans="1:13" ht="16.5" customHeight="1" x14ac:dyDescent="0.2">
      <c r="A27" s="6">
        <v>25</v>
      </c>
      <c r="B27" s="102" t="s">
        <v>55</v>
      </c>
      <c r="C27" s="103"/>
      <c r="D27" s="102" t="s">
        <v>6</v>
      </c>
      <c r="E27" s="103"/>
      <c r="F27" s="104">
        <v>35</v>
      </c>
      <c r="G27" s="105"/>
      <c r="H27" s="11">
        <v>77</v>
      </c>
      <c r="I27" s="7" t="s">
        <v>56</v>
      </c>
      <c r="J27" s="7" t="s">
        <v>6</v>
      </c>
      <c r="K27" s="9">
        <v>74</v>
      </c>
      <c r="L27" s="101"/>
      <c r="M27" s="101"/>
    </row>
    <row r="28" spans="1:13" ht="16.5" customHeight="1" x14ac:dyDescent="0.2">
      <c r="A28" s="12">
        <v>26</v>
      </c>
      <c r="B28" s="102" t="s">
        <v>57</v>
      </c>
      <c r="C28" s="103"/>
      <c r="D28" s="102" t="s">
        <v>3</v>
      </c>
      <c r="E28" s="103"/>
      <c r="F28" s="104">
        <v>21.5</v>
      </c>
      <c r="G28" s="105"/>
      <c r="H28" s="13">
        <v>78</v>
      </c>
      <c r="I28" s="7" t="s">
        <v>58</v>
      </c>
      <c r="J28" s="7" t="s">
        <v>6</v>
      </c>
      <c r="K28" s="9">
        <v>77</v>
      </c>
      <c r="L28" s="101"/>
      <c r="M28" s="101"/>
    </row>
    <row r="29" spans="1:13" ht="16.5" customHeight="1" x14ac:dyDescent="0.2">
      <c r="A29" s="6">
        <v>27</v>
      </c>
      <c r="B29" s="102" t="s">
        <v>59</v>
      </c>
      <c r="C29" s="103"/>
      <c r="D29" s="102" t="s">
        <v>6</v>
      </c>
      <c r="E29" s="103"/>
      <c r="F29" s="104">
        <v>20.3</v>
      </c>
      <c r="G29" s="105"/>
      <c r="H29" s="11">
        <v>79</v>
      </c>
      <c r="I29" s="7" t="s">
        <v>60</v>
      </c>
      <c r="J29" s="7" t="s">
        <v>6</v>
      </c>
      <c r="K29" s="9">
        <v>63</v>
      </c>
      <c r="L29" s="101"/>
      <c r="M29" s="101"/>
    </row>
    <row r="30" spans="1:13" ht="16.5" customHeight="1" x14ac:dyDescent="0.2">
      <c r="A30" s="12">
        <v>28</v>
      </c>
      <c r="B30" s="102" t="s">
        <v>61</v>
      </c>
      <c r="C30" s="103"/>
      <c r="D30" s="102" t="s">
        <v>6</v>
      </c>
      <c r="E30" s="103"/>
      <c r="F30" s="104">
        <v>19</v>
      </c>
      <c r="G30" s="105"/>
      <c r="H30" s="13">
        <v>80</v>
      </c>
      <c r="I30" s="7" t="s">
        <v>62</v>
      </c>
      <c r="J30" s="7" t="s">
        <v>6</v>
      </c>
      <c r="K30" s="9">
        <v>32</v>
      </c>
      <c r="L30" s="101"/>
      <c r="M30" s="101"/>
    </row>
    <row r="31" spans="1:13" ht="16.5" customHeight="1" x14ac:dyDescent="0.2">
      <c r="A31" s="6">
        <v>29</v>
      </c>
      <c r="B31" s="102" t="s">
        <v>63</v>
      </c>
      <c r="C31" s="103"/>
      <c r="D31" s="102" t="s">
        <v>3</v>
      </c>
      <c r="E31" s="103"/>
      <c r="F31" s="104">
        <v>95</v>
      </c>
      <c r="G31" s="105"/>
      <c r="H31" s="11">
        <v>81</v>
      </c>
      <c r="I31" s="7" t="s">
        <v>64</v>
      </c>
      <c r="J31" s="7" t="s">
        <v>6</v>
      </c>
      <c r="K31" s="9">
        <v>34</v>
      </c>
      <c r="L31" s="101"/>
      <c r="M31" s="101"/>
    </row>
    <row r="32" spans="1:13" ht="16.5" customHeight="1" x14ac:dyDescent="0.2">
      <c r="A32" s="12">
        <v>30</v>
      </c>
      <c r="B32" s="102" t="s">
        <v>65</v>
      </c>
      <c r="C32" s="103"/>
      <c r="D32" s="102" t="s">
        <v>6</v>
      </c>
      <c r="E32" s="103"/>
      <c r="F32" s="104">
        <v>66</v>
      </c>
      <c r="G32" s="105"/>
      <c r="H32" s="13">
        <v>82</v>
      </c>
      <c r="I32" s="7" t="s">
        <v>66</v>
      </c>
      <c r="J32" s="7" t="s">
        <v>6</v>
      </c>
      <c r="K32" s="9">
        <v>24</v>
      </c>
      <c r="L32" s="101"/>
      <c r="M32" s="101"/>
    </row>
    <row r="33" spans="1:13" ht="16.5" customHeight="1" x14ac:dyDescent="0.2">
      <c r="A33" s="6">
        <v>31</v>
      </c>
      <c r="B33" s="102" t="s">
        <v>67</v>
      </c>
      <c r="C33" s="103"/>
      <c r="D33" s="102" t="s">
        <v>6</v>
      </c>
      <c r="E33" s="103"/>
      <c r="F33" s="104">
        <v>63</v>
      </c>
      <c r="G33" s="105"/>
      <c r="H33" s="11">
        <v>83</v>
      </c>
      <c r="I33" s="7" t="s">
        <v>68</v>
      </c>
      <c r="J33" s="7" t="s">
        <v>6</v>
      </c>
      <c r="K33" s="9">
        <v>64</v>
      </c>
      <c r="L33" s="101"/>
      <c r="M33" s="101"/>
    </row>
    <row r="34" spans="1:13" ht="16.5" customHeight="1" x14ac:dyDescent="0.2">
      <c r="A34" s="12">
        <v>32</v>
      </c>
      <c r="B34" s="102" t="s">
        <v>69</v>
      </c>
      <c r="C34" s="103"/>
      <c r="D34" s="102" t="s">
        <v>6</v>
      </c>
      <c r="E34" s="103"/>
      <c r="F34" s="104">
        <v>15</v>
      </c>
      <c r="G34" s="105"/>
      <c r="H34" s="13">
        <v>84</v>
      </c>
      <c r="I34" s="7" t="s">
        <v>70</v>
      </c>
      <c r="J34" s="7" t="s">
        <v>6</v>
      </c>
      <c r="K34" s="9">
        <v>60</v>
      </c>
      <c r="L34" s="101"/>
      <c r="M34" s="101"/>
    </row>
    <row r="35" spans="1:13" ht="16.5" customHeight="1" x14ac:dyDescent="0.2">
      <c r="A35" s="6">
        <v>33</v>
      </c>
      <c r="B35" s="102" t="s">
        <v>71</v>
      </c>
      <c r="C35" s="103"/>
      <c r="D35" s="102" t="s">
        <v>6</v>
      </c>
      <c r="E35" s="103"/>
      <c r="F35" s="104">
        <v>28</v>
      </c>
      <c r="G35" s="105"/>
      <c r="H35" s="11">
        <v>85</v>
      </c>
      <c r="I35" s="7" t="s">
        <v>72</v>
      </c>
      <c r="J35" s="7" t="s">
        <v>6</v>
      </c>
      <c r="K35" s="9">
        <v>15</v>
      </c>
      <c r="L35" s="101"/>
      <c r="M35" s="101"/>
    </row>
    <row r="36" spans="1:13" ht="16.5" customHeight="1" x14ac:dyDescent="0.2">
      <c r="A36" s="12">
        <v>34</v>
      </c>
      <c r="B36" s="102" t="s">
        <v>73</v>
      </c>
      <c r="C36" s="103"/>
      <c r="D36" s="102" t="s">
        <v>3</v>
      </c>
      <c r="E36" s="103"/>
      <c r="F36" s="104">
        <v>14.6</v>
      </c>
      <c r="G36" s="105"/>
      <c r="H36" s="13">
        <v>86</v>
      </c>
      <c r="I36" s="7" t="s">
        <v>74</v>
      </c>
      <c r="J36" s="7" t="s">
        <v>12</v>
      </c>
      <c r="K36" s="9">
        <v>24</v>
      </c>
      <c r="L36" s="101"/>
      <c r="M36" s="101"/>
    </row>
    <row r="37" spans="1:13" ht="16.5" customHeight="1" x14ac:dyDescent="0.2">
      <c r="A37" s="6">
        <v>35</v>
      </c>
      <c r="B37" s="102" t="s">
        <v>75</v>
      </c>
      <c r="C37" s="103"/>
      <c r="D37" s="102" t="s">
        <v>3</v>
      </c>
      <c r="E37" s="103"/>
      <c r="F37" s="104">
        <v>13</v>
      </c>
      <c r="G37" s="105"/>
      <c r="H37" s="11">
        <v>87</v>
      </c>
      <c r="I37" s="7" t="s">
        <v>76</v>
      </c>
      <c r="J37" s="7" t="s">
        <v>6</v>
      </c>
      <c r="K37" s="9">
        <v>46</v>
      </c>
      <c r="L37" s="101"/>
      <c r="M37" s="101"/>
    </row>
    <row r="38" spans="1:13" ht="16.5" customHeight="1" x14ac:dyDescent="0.2">
      <c r="A38" s="12">
        <v>36</v>
      </c>
      <c r="B38" s="102" t="s">
        <v>77</v>
      </c>
      <c r="C38" s="103"/>
      <c r="D38" s="102" t="s">
        <v>6</v>
      </c>
      <c r="E38" s="103"/>
      <c r="F38" s="104">
        <v>30</v>
      </c>
      <c r="G38" s="105"/>
      <c r="H38" s="13">
        <v>88</v>
      </c>
      <c r="I38" s="7" t="s">
        <v>78</v>
      </c>
      <c r="J38" s="7" t="s">
        <v>6</v>
      </c>
      <c r="K38" s="9">
        <v>55</v>
      </c>
      <c r="L38" s="101"/>
      <c r="M38" s="101"/>
    </row>
    <row r="39" spans="1:13" ht="16.5" customHeight="1" x14ac:dyDescent="0.2">
      <c r="A39" s="6">
        <v>37</v>
      </c>
      <c r="B39" s="102" t="s">
        <v>79</v>
      </c>
      <c r="C39" s="103"/>
      <c r="D39" s="102" t="s">
        <v>6</v>
      </c>
      <c r="E39" s="103"/>
      <c r="F39" s="104">
        <v>43</v>
      </c>
      <c r="G39" s="105"/>
      <c r="H39" s="11">
        <v>89</v>
      </c>
      <c r="I39" s="7" t="s">
        <v>80</v>
      </c>
      <c r="J39" s="7" t="s">
        <v>6</v>
      </c>
      <c r="K39" s="9">
        <v>20.5</v>
      </c>
      <c r="L39" s="101"/>
      <c r="M39" s="101"/>
    </row>
    <row r="40" spans="1:13" ht="16.5" customHeight="1" x14ac:dyDescent="0.2">
      <c r="A40" s="12">
        <v>38</v>
      </c>
      <c r="B40" s="102" t="s">
        <v>81</v>
      </c>
      <c r="C40" s="103"/>
      <c r="D40" s="102" t="s">
        <v>6</v>
      </c>
      <c r="E40" s="103"/>
      <c r="F40" s="104">
        <v>16</v>
      </c>
      <c r="G40" s="105"/>
      <c r="H40" s="13">
        <v>90</v>
      </c>
      <c r="I40" s="7" t="s">
        <v>82</v>
      </c>
      <c r="J40" s="7" t="s">
        <v>6</v>
      </c>
      <c r="K40" s="9">
        <v>135</v>
      </c>
      <c r="L40" s="101"/>
      <c r="M40" s="101"/>
    </row>
    <row r="41" spans="1:13" ht="16.5" customHeight="1" x14ac:dyDescent="0.2">
      <c r="A41" s="6">
        <v>39</v>
      </c>
      <c r="B41" s="102" t="s">
        <v>83</v>
      </c>
      <c r="C41" s="103"/>
      <c r="D41" s="102" t="s">
        <v>6</v>
      </c>
      <c r="E41" s="103"/>
      <c r="F41" s="104">
        <v>11</v>
      </c>
      <c r="G41" s="105"/>
      <c r="H41" s="11">
        <v>91</v>
      </c>
      <c r="I41" s="7" t="s">
        <v>84</v>
      </c>
      <c r="J41" s="7" t="s">
        <v>6</v>
      </c>
      <c r="K41" s="9">
        <v>15.5</v>
      </c>
      <c r="L41" s="101"/>
      <c r="M41" s="101"/>
    </row>
    <row r="42" spans="1:13" ht="16.5" customHeight="1" x14ac:dyDescent="0.2">
      <c r="A42" s="12">
        <v>40</v>
      </c>
      <c r="B42" s="102" t="s">
        <v>85</v>
      </c>
      <c r="C42" s="103"/>
      <c r="D42" s="102" t="s">
        <v>6</v>
      </c>
      <c r="E42" s="103"/>
      <c r="F42" s="104">
        <v>20</v>
      </c>
      <c r="G42" s="105"/>
      <c r="H42" s="13">
        <v>92</v>
      </c>
      <c r="I42" s="7" t="s">
        <v>86</v>
      </c>
      <c r="J42" s="7" t="s">
        <v>3</v>
      </c>
      <c r="K42" s="9">
        <v>15</v>
      </c>
      <c r="L42" s="101"/>
      <c r="M42" s="101"/>
    </row>
    <row r="43" spans="1:13" ht="16.5" customHeight="1" x14ac:dyDescent="0.2">
      <c r="A43" s="6">
        <v>41</v>
      </c>
      <c r="B43" s="102" t="s">
        <v>87</v>
      </c>
      <c r="C43" s="103"/>
      <c r="D43" s="102" t="s">
        <v>6</v>
      </c>
      <c r="E43" s="103"/>
      <c r="F43" s="104">
        <v>12</v>
      </c>
      <c r="G43" s="105"/>
      <c r="H43" s="11">
        <v>93</v>
      </c>
      <c r="I43" s="7" t="s">
        <v>88</v>
      </c>
      <c r="J43" s="7" t="s">
        <v>6</v>
      </c>
      <c r="K43" s="9">
        <v>19</v>
      </c>
      <c r="L43" s="101"/>
      <c r="M43" s="101"/>
    </row>
    <row r="44" spans="1:13" ht="16.5" customHeight="1" x14ac:dyDescent="0.2">
      <c r="A44" s="12">
        <v>42</v>
      </c>
      <c r="B44" s="102" t="s">
        <v>89</v>
      </c>
      <c r="C44" s="103"/>
      <c r="D44" s="102" t="s">
        <v>6</v>
      </c>
      <c r="E44" s="103"/>
      <c r="F44" s="104">
        <v>22</v>
      </c>
      <c r="G44" s="105"/>
      <c r="H44" s="13">
        <v>94</v>
      </c>
      <c r="I44" s="7" t="s">
        <v>90</v>
      </c>
      <c r="J44" s="7" t="s">
        <v>3</v>
      </c>
      <c r="K44" s="9">
        <v>17</v>
      </c>
      <c r="L44" s="101"/>
      <c r="M44" s="101"/>
    </row>
    <row r="45" spans="1:13" ht="16.5" customHeight="1" x14ac:dyDescent="0.2">
      <c r="A45" s="6">
        <v>43</v>
      </c>
      <c r="B45" s="102" t="s">
        <v>91</v>
      </c>
      <c r="C45" s="103"/>
      <c r="D45" s="102" t="s">
        <v>6</v>
      </c>
      <c r="E45" s="103"/>
      <c r="F45" s="104">
        <v>30.5</v>
      </c>
      <c r="G45" s="105"/>
      <c r="H45" s="11">
        <v>95</v>
      </c>
      <c r="I45" s="7" t="s">
        <v>92</v>
      </c>
      <c r="J45" s="7" t="s">
        <v>3</v>
      </c>
      <c r="K45" s="9">
        <v>56.5</v>
      </c>
      <c r="L45" s="101"/>
      <c r="M45" s="101"/>
    </row>
    <row r="46" spans="1:13" ht="16.5" customHeight="1" x14ac:dyDescent="0.2">
      <c r="A46" s="12">
        <v>44</v>
      </c>
      <c r="B46" s="102" t="s">
        <v>93</v>
      </c>
      <c r="C46" s="103"/>
      <c r="D46" s="102" t="s">
        <v>6</v>
      </c>
      <c r="E46" s="103"/>
      <c r="F46" s="104">
        <v>38</v>
      </c>
      <c r="G46" s="105"/>
      <c r="H46" s="13">
        <v>96</v>
      </c>
      <c r="I46" s="7" t="s">
        <v>94</v>
      </c>
      <c r="J46" s="7" t="s">
        <v>6</v>
      </c>
      <c r="K46" s="9">
        <v>55</v>
      </c>
      <c r="L46" s="101"/>
      <c r="M46" s="101"/>
    </row>
    <row r="47" spans="1:13" ht="16.5" customHeight="1" x14ac:dyDescent="0.2">
      <c r="A47" s="6">
        <v>45</v>
      </c>
      <c r="B47" s="102" t="s">
        <v>95</v>
      </c>
      <c r="C47" s="103"/>
      <c r="D47" s="102" t="s">
        <v>3</v>
      </c>
      <c r="E47" s="103"/>
      <c r="F47" s="104">
        <v>50</v>
      </c>
      <c r="G47" s="105"/>
      <c r="H47" s="11">
        <v>97</v>
      </c>
      <c r="I47" s="7" t="s">
        <v>96</v>
      </c>
      <c r="J47" s="7" t="s">
        <v>3</v>
      </c>
      <c r="K47" s="9">
        <v>14.5</v>
      </c>
      <c r="L47" s="101"/>
      <c r="M47" s="101"/>
    </row>
    <row r="48" spans="1:13" ht="16.5" customHeight="1" x14ac:dyDescent="0.2">
      <c r="A48" s="12">
        <v>46</v>
      </c>
      <c r="B48" s="102" t="s">
        <v>97</v>
      </c>
      <c r="C48" s="103"/>
      <c r="D48" s="102" t="s">
        <v>6</v>
      </c>
      <c r="E48" s="103"/>
      <c r="F48" s="104">
        <v>79</v>
      </c>
      <c r="G48" s="105"/>
      <c r="H48" s="13">
        <v>98</v>
      </c>
      <c r="I48" s="7" t="s">
        <v>98</v>
      </c>
      <c r="J48" s="7" t="s">
        <v>37</v>
      </c>
      <c r="K48" s="9">
        <v>34</v>
      </c>
      <c r="L48" s="101"/>
      <c r="M48" s="101"/>
    </row>
    <row r="49" spans="1:13" ht="16.5" customHeight="1" x14ac:dyDescent="0.2">
      <c r="A49" s="6">
        <v>47</v>
      </c>
      <c r="B49" s="102" t="s">
        <v>99</v>
      </c>
      <c r="C49" s="103"/>
      <c r="D49" s="102" t="s">
        <v>3</v>
      </c>
      <c r="E49" s="103"/>
      <c r="F49" s="104">
        <v>130</v>
      </c>
      <c r="G49" s="105"/>
      <c r="H49" s="11">
        <v>99</v>
      </c>
      <c r="I49" s="7" t="s">
        <v>100</v>
      </c>
      <c r="J49" s="7" t="s">
        <v>101</v>
      </c>
      <c r="K49" s="9">
        <v>3.5</v>
      </c>
      <c r="L49" s="101"/>
      <c r="M49" s="101"/>
    </row>
    <row r="50" spans="1:13" ht="16.5" customHeight="1" x14ac:dyDescent="0.2">
      <c r="A50" s="12">
        <v>48</v>
      </c>
      <c r="B50" s="102" t="s">
        <v>102</v>
      </c>
      <c r="C50" s="103"/>
      <c r="D50" s="102" t="s">
        <v>6</v>
      </c>
      <c r="E50" s="103"/>
      <c r="F50" s="104">
        <v>68</v>
      </c>
      <c r="G50" s="105"/>
      <c r="H50" s="13">
        <v>100</v>
      </c>
      <c r="I50" s="7" t="s">
        <v>103</v>
      </c>
      <c r="J50" s="7" t="s">
        <v>3</v>
      </c>
      <c r="K50" s="9">
        <v>21</v>
      </c>
      <c r="L50" s="101"/>
      <c r="M50" s="101"/>
    </row>
    <row r="51" spans="1:13" ht="16.5" customHeight="1" x14ac:dyDescent="0.2">
      <c r="A51" s="6">
        <v>49</v>
      </c>
      <c r="B51" s="102" t="s">
        <v>104</v>
      </c>
      <c r="C51" s="103"/>
      <c r="D51" s="102" t="s">
        <v>6</v>
      </c>
      <c r="E51" s="103"/>
      <c r="F51" s="104">
        <v>37</v>
      </c>
      <c r="G51" s="105"/>
      <c r="H51" s="11">
        <v>101</v>
      </c>
      <c r="I51" s="7" t="s">
        <v>105</v>
      </c>
      <c r="J51" s="7" t="s">
        <v>6</v>
      </c>
      <c r="K51" s="9">
        <v>44</v>
      </c>
      <c r="L51" s="101"/>
      <c r="M51" s="101"/>
    </row>
    <row r="52" spans="1:13" ht="16.5" customHeight="1" x14ac:dyDescent="0.2">
      <c r="A52" s="12">
        <v>50</v>
      </c>
      <c r="B52" s="102" t="s">
        <v>106</v>
      </c>
      <c r="C52" s="103"/>
      <c r="D52" s="102" t="s">
        <v>6</v>
      </c>
      <c r="E52" s="103"/>
      <c r="F52" s="104">
        <v>53</v>
      </c>
      <c r="G52" s="105"/>
      <c r="H52" s="13">
        <v>102</v>
      </c>
      <c r="I52" s="7" t="s">
        <v>107</v>
      </c>
      <c r="J52" s="7" t="s">
        <v>101</v>
      </c>
      <c r="K52" s="9">
        <v>75</v>
      </c>
      <c r="L52" s="101"/>
      <c r="M52" s="101"/>
    </row>
    <row r="53" spans="1:13" ht="16.5" customHeight="1" x14ac:dyDescent="0.2">
      <c r="A53" s="6">
        <v>51</v>
      </c>
      <c r="B53" s="102" t="s">
        <v>108</v>
      </c>
      <c r="C53" s="103"/>
      <c r="D53" s="102" t="s">
        <v>6</v>
      </c>
      <c r="E53" s="103"/>
      <c r="F53" s="104">
        <v>82</v>
      </c>
      <c r="G53" s="105"/>
      <c r="H53" s="11">
        <v>103</v>
      </c>
      <c r="I53" s="7" t="s">
        <v>109</v>
      </c>
      <c r="J53" s="7" t="s">
        <v>101</v>
      </c>
      <c r="K53" s="9">
        <v>56</v>
      </c>
      <c r="L53" s="101"/>
      <c r="M53" s="101"/>
    </row>
    <row r="54" spans="1:13" ht="16.5" customHeight="1" x14ac:dyDescent="0.2">
      <c r="A54" s="14">
        <v>52</v>
      </c>
      <c r="B54" s="102" t="s">
        <v>110</v>
      </c>
      <c r="C54" s="103"/>
      <c r="D54" s="102" t="s">
        <v>111</v>
      </c>
      <c r="E54" s="103"/>
      <c r="F54" s="106">
        <v>36</v>
      </c>
      <c r="G54" s="107"/>
      <c r="H54" s="17">
        <v>104</v>
      </c>
      <c r="I54" s="7" t="s">
        <v>112</v>
      </c>
      <c r="J54" s="7" t="s">
        <v>111</v>
      </c>
      <c r="K54" s="15">
        <v>40</v>
      </c>
      <c r="L54" s="101"/>
      <c r="M54" s="101"/>
    </row>
    <row r="55" spans="1:13" ht="14.25" customHeight="1" x14ac:dyDescent="0.2">
      <c r="A55" s="1"/>
      <c r="B55" s="97" t="s">
        <v>1</v>
      </c>
      <c r="C55" s="98"/>
      <c r="D55" s="99"/>
      <c r="E55" s="100"/>
      <c r="F55" s="99"/>
      <c r="G55" s="100"/>
      <c r="H55" s="4"/>
      <c r="I55" s="2" t="s">
        <v>1</v>
      </c>
      <c r="J55" s="3"/>
      <c r="K55" s="3"/>
    </row>
    <row r="56" spans="1:13" ht="16.5" customHeight="1" x14ac:dyDescent="0.2">
      <c r="A56" s="6">
        <v>105</v>
      </c>
      <c r="B56" s="102" t="s">
        <v>113</v>
      </c>
      <c r="C56" s="103"/>
      <c r="D56" s="102" t="s">
        <v>6</v>
      </c>
      <c r="E56" s="103"/>
      <c r="F56" s="104">
        <v>98</v>
      </c>
      <c r="G56" s="105"/>
      <c r="H56" s="11">
        <v>157</v>
      </c>
      <c r="I56" s="7" t="s">
        <v>114</v>
      </c>
      <c r="J56" s="7" t="s">
        <v>6</v>
      </c>
      <c r="K56" s="9">
        <v>56</v>
      </c>
    </row>
    <row r="57" spans="1:13" ht="16.5" customHeight="1" x14ac:dyDescent="0.2">
      <c r="A57" s="6">
        <v>106</v>
      </c>
      <c r="B57" s="102" t="s">
        <v>115</v>
      </c>
      <c r="C57" s="103"/>
      <c r="D57" s="102" t="s">
        <v>3</v>
      </c>
      <c r="E57" s="103"/>
      <c r="F57" s="104">
        <v>45</v>
      </c>
      <c r="G57" s="105"/>
      <c r="H57" s="11">
        <v>158</v>
      </c>
      <c r="I57" s="7" t="s">
        <v>116</v>
      </c>
      <c r="J57" s="7" t="s">
        <v>3</v>
      </c>
      <c r="K57" s="9">
        <v>305</v>
      </c>
    </row>
    <row r="58" spans="1:13" ht="16.5" customHeight="1" x14ac:dyDescent="0.2">
      <c r="A58" s="6">
        <v>107</v>
      </c>
      <c r="B58" s="102" t="s">
        <v>117</v>
      </c>
      <c r="C58" s="103"/>
      <c r="D58" s="102" t="s">
        <v>6</v>
      </c>
      <c r="E58" s="103"/>
      <c r="F58" s="104">
        <v>148</v>
      </c>
      <c r="G58" s="105"/>
      <c r="H58" s="11">
        <v>159</v>
      </c>
      <c r="I58" s="7" t="s">
        <v>118</v>
      </c>
      <c r="J58" s="7" t="s">
        <v>6</v>
      </c>
      <c r="K58" s="9">
        <v>63</v>
      </c>
    </row>
    <row r="59" spans="1:13" ht="16.5" customHeight="1" x14ac:dyDescent="0.2">
      <c r="A59" s="6">
        <v>108</v>
      </c>
      <c r="B59" s="102" t="s">
        <v>119</v>
      </c>
      <c r="C59" s="103"/>
      <c r="D59" s="102" t="s">
        <v>6</v>
      </c>
      <c r="E59" s="103"/>
      <c r="F59" s="104">
        <v>198</v>
      </c>
      <c r="G59" s="105"/>
      <c r="H59" s="11">
        <v>160</v>
      </c>
      <c r="I59" s="7" t="s">
        <v>120</v>
      </c>
      <c r="J59" s="7" t="s">
        <v>6</v>
      </c>
      <c r="K59" s="9">
        <v>151</v>
      </c>
    </row>
    <row r="60" spans="1:13" ht="16.5" customHeight="1" x14ac:dyDescent="0.2">
      <c r="A60" s="6">
        <v>109</v>
      </c>
      <c r="B60" s="102" t="s">
        <v>121</v>
      </c>
      <c r="C60" s="103"/>
      <c r="D60" s="102" t="s">
        <v>3</v>
      </c>
      <c r="E60" s="103"/>
      <c r="F60" s="104">
        <v>44</v>
      </c>
      <c r="G60" s="105"/>
      <c r="H60" s="11">
        <v>161</v>
      </c>
      <c r="I60" s="7" t="s">
        <v>122</v>
      </c>
      <c r="J60" s="7" t="s">
        <v>123</v>
      </c>
      <c r="K60" s="9">
        <v>15.5</v>
      </c>
    </row>
    <row r="61" spans="1:13" ht="16.5" customHeight="1" x14ac:dyDescent="0.2">
      <c r="A61" s="6">
        <v>110</v>
      </c>
      <c r="B61" s="102" t="s">
        <v>124</v>
      </c>
      <c r="C61" s="103"/>
      <c r="D61" s="102" t="s">
        <v>6</v>
      </c>
      <c r="E61" s="103"/>
      <c r="F61" s="104">
        <v>32.5</v>
      </c>
      <c r="G61" s="105"/>
      <c r="H61" s="11">
        <v>162</v>
      </c>
      <c r="I61" s="7" t="s">
        <v>125</v>
      </c>
      <c r="J61" s="7" t="s">
        <v>3</v>
      </c>
      <c r="K61" s="9">
        <v>23.5</v>
      </c>
    </row>
    <row r="62" spans="1:13" ht="16.5" customHeight="1" x14ac:dyDescent="0.2">
      <c r="A62" s="6">
        <v>111</v>
      </c>
      <c r="B62" s="102" t="s">
        <v>126</v>
      </c>
      <c r="C62" s="103"/>
      <c r="D62" s="102" t="s">
        <v>6</v>
      </c>
      <c r="E62" s="103"/>
      <c r="F62" s="104">
        <v>117</v>
      </c>
      <c r="G62" s="105"/>
      <c r="H62" s="11">
        <v>163</v>
      </c>
      <c r="I62" s="7" t="s">
        <v>127</v>
      </c>
      <c r="J62" s="7" t="s">
        <v>6</v>
      </c>
      <c r="K62" s="9">
        <v>39</v>
      </c>
    </row>
    <row r="63" spans="1:13" ht="16.5" customHeight="1" x14ac:dyDescent="0.2">
      <c r="A63" s="6">
        <v>112</v>
      </c>
      <c r="B63" s="102" t="s">
        <v>128</v>
      </c>
      <c r="C63" s="103"/>
      <c r="D63" s="102" t="s">
        <v>6</v>
      </c>
      <c r="E63" s="103"/>
      <c r="F63" s="104">
        <v>136</v>
      </c>
      <c r="G63" s="105"/>
      <c r="H63" s="11">
        <v>164</v>
      </c>
      <c r="I63" s="7" t="s">
        <v>129</v>
      </c>
      <c r="J63" s="7" t="s">
        <v>3</v>
      </c>
      <c r="K63" s="9">
        <v>43</v>
      </c>
    </row>
    <row r="64" spans="1:13" ht="16.5" customHeight="1" x14ac:dyDescent="0.2">
      <c r="A64" s="6">
        <v>113</v>
      </c>
      <c r="B64" s="102" t="s">
        <v>130</v>
      </c>
      <c r="C64" s="103"/>
      <c r="D64" s="102" t="s">
        <v>6</v>
      </c>
      <c r="E64" s="103"/>
      <c r="F64" s="104">
        <v>112</v>
      </c>
      <c r="G64" s="105"/>
      <c r="H64" s="11">
        <v>165</v>
      </c>
      <c r="I64" s="7" t="s">
        <v>131</v>
      </c>
      <c r="J64" s="7" t="s">
        <v>3</v>
      </c>
      <c r="K64" s="9">
        <v>55</v>
      </c>
    </row>
    <row r="65" spans="1:11" ht="16.5" customHeight="1" x14ac:dyDescent="0.2">
      <c r="A65" s="6">
        <v>114</v>
      </c>
      <c r="B65" s="102" t="s">
        <v>132</v>
      </c>
      <c r="C65" s="103"/>
      <c r="D65" s="102" t="s">
        <v>101</v>
      </c>
      <c r="E65" s="103"/>
      <c r="F65" s="104">
        <v>57.5</v>
      </c>
      <c r="G65" s="105"/>
      <c r="H65" s="11">
        <v>166</v>
      </c>
      <c r="I65" s="7" t="s">
        <v>133</v>
      </c>
      <c r="J65" s="7" t="s">
        <v>6</v>
      </c>
      <c r="K65" s="9">
        <v>22</v>
      </c>
    </row>
    <row r="66" spans="1:11" ht="16.5" customHeight="1" x14ac:dyDescent="0.2">
      <c r="A66" s="6">
        <v>115</v>
      </c>
      <c r="B66" s="102" t="s">
        <v>134</v>
      </c>
      <c r="C66" s="103"/>
      <c r="D66" s="102" t="s">
        <v>101</v>
      </c>
      <c r="E66" s="103"/>
      <c r="F66" s="104">
        <v>22</v>
      </c>
      <c r="G66" s="105"/>
      <c r="H66" s="11">
        <v>167</v>
      </c>
      <c r="I66" s="7" t="s">
        <v>135</v>
      </c>
      <c r="J66" s="7" t="s">
        <v>3</v>
      </c>
      <c r="K66" s="9">
        <v>29</v>
      </c>
    </row>
    <row r="67" spans="1:11" ht="16.5" customHeight="1" x14ac:dyDescent="0.2">
      <c r="A67" s="6">
        <v>116</v>
      </c>
      <c r="B67" s="102" t="s">
        <v>136</v>
      </c>
      <c r="C67" s="103"/>
      <c r="D67" s="102" t="s">
        <v>37</v>
      </c>
      <c r="E67" s="103"/>
      <c r="F67" s="104">
        <v>69</v>
      </c>
      <c r="G67" s="105"/>
      <c r="H67" s="11">
        <v>168</v>
      </c>
      <c r="I67" s="7" t="s">
        <v>137</v>
      </c>
      <c r="J67" s="7" t="s">
        <v>3</v>
      </c>
      <c r="K67" s="9">
        <v>39.5</v>
      </c>
    </row>
    <row r="68" spans="1:11" ht="16.5" customHeight="1" x14ac:dyDescent="0.2">
      <c r="A68" s="6">
        <v>117</v>
      </c>
      <c r="B68" s="102" t="s">
        <v>138</v>
      </c>
      <c r="C68" s="103"/>
      <c r="D68" s="102" t="s">
        <v>37</v>
      </c>
      <c r="E68" s="103"/>
      <c r="F68" s="104">
        <v>58</v>
      </c>
      <c r="G68" s="105"/>
      <c r="H68" s="11">
        <v>169</v>
      </c>
      <c r="I68" s="7" t="s">
        <v>139</v>
      </c>
      <c r="J68" s="7" t="s">
        <v>3</v>
      </c>
      <c r="K68" s="9">
        <v>39.5</v>
      </c>
    </row>
    <row r="69" spans="1:11" ht="16.5" customHeight="1" x14ac:dyDescent="0.2">
      <c r="A69" s="12">
        <v>118</v>
      </c>
      <c r="B69" s="102" t="s">
        <v>140</v>
      </c>
      <c r="C69" s="103"/>
      <c r="D69" s="102" t="s">
        <v>101</v>
      </c>
      <c r="E69" s="103"/>
      <c r="F69" s="104">
        <v>52</v>
      </c>
      <c r="G69" s="105"/>
      <c r="H69" s="13">
        <v>170</v>
      </c>
      <c r="I69" s="7" t="s">
        <v>141</v>
      </c>
      <c r="J69" s="7" t="s">
        <v>6</v>
      </c>
      <c r="K69" s="9">
        <v>175</v>
      </c>
    </row>
    <row r="70" spans="1:11" ht="16.5" customHeight="1" x14ac:dyDescent="0.2">
      <c r="A70" s="6">
        <v>119</v>
      </c>
      <c r="B70" s="102" t="s">
        <v>142</v>
      </c>
      <c r="C70" s="103"/>
      <c r="D70" s="102" t="s">
        <v>6</v>
      </c>
      <c r="E70" s="103"/>
      <c r="F70" s="104">
        <v>52</v>
      </c>
      <c r="G70" s="105"/>
      <c r="H70" s="11">
        <v>171</v>
      </c>
      <c r="I70" s="7" t="s">
        <v>143</v>
      </c>
      <c r="J70" s="7" t="s">
        <v>3</v>
      </c>
      <c r="K70" s="9">
        <v>138</v>
      </c>
    </row>
    <row r="71" spans="1:11" ht="16.5" customHeight="1" x14ac:dyDescent="0.2">
      <c r="A71" s="12">
        <v>120</v>
      </c>
      <c r="B71" s="102" t="s">
        <v>144</v>
      </c>
      <c r="C71" s="103"/>
      <c r="D71" s="102" t="s">
        <v>6</v>
      </c>
      <c r="E71" s="103"/>
      <c r="F71" s="104">
        <v>19</v>
      </c>
      <c r="G71" s="105"/>
      <c r="H71" s="13">
        <v>172</v>
      </c>
      <c r="I71" s="7" t="s">
        <v>145</v>
      </c>
      <c r="J71" s="7" t="s">
        <v>3</v>
      </c>
      <c r="K71" s="9">
        <v>26</v>
      </c>
    </row>
    <row r="72" spans="1:11" ht="16.5" customHeight="1" x14ac:dyDescent="0.2">
      <c r="A72" s="6">
        <v>121</v>
      </c>
      <c r="B72" s="102" t="s">
        <v>146</v>
      </c>
      <c r="C72" s="103"/>
      <c r="D72" s="102" t="s">
        <v>6</v>
      </c>
      <c r="E72" s="103"/>
      <c r="F72" s="104">
        <v>56</v>
      </c>
      <c r="G72" s="105"/>
      <c r="H72" s="11">
        <v>173</v>
      </c>
      <c r="I72" s="7" t="s">
        <v>147</v>
      </c>
      <c r="J72" s="7" t="s">
        <v>6</v>
      </c>
      <c r="K72" s="9">
        <v>7.5</v>
      </c>
    </row>
    <row r="73" spans="1:11" ht="16.5" customHeight="1" x14ac:dyDescent="0.2">
      <c r="A73" s="12">
        <v>122</v>
      </c>
      <c r="B73" s="102" t="s">
        <v>148</v>
      </c>
      <c r="C73" s="103"/>
      <c r="D73" s="102" t="s">
        <v>6</v>
      </c>
      <c r="E73" s="103"/>
      <c r="F73" s="104">
        <v>23</v>
      </c>
      <c r="G73" s="105"/>
      <c r="H73" s="13">
        <v>174</v>
      </c>
      <c r="I73" s="7" t="s">
        <v>149</v>
      </c>
      <c r="J73" s="7" t="s">
        <v>6</v>
      </c>
      <c r="K73" s="9">
        <v>64</v>
      </c>
    </row>
    <row r="74" spans="1:11" ht="16.5" customHeight="1" x14ac:dyDescent="0.2">
      <c r="A74" s="6">
        <v>123</v>
      </c>
      <c r="B74" s="102" t="s">
        <v>150</v>
      </c>
      <c r="C74" s="103"/>
      <c r="D74" s="102" t="s">
        <v>6</v>
      </c>
      <c r="E74" s="103"/>
      <c r="F74" s="104">
        <v>18.5</v>
      </c>
      <c r="G74" s="105"/>
      <c r="H74" s="11">
        <v>175</v>
      </c>
      <c r="I74" s="7" t="s">
        <v>151</v>
      </c>
      <c r="J74" s="7" t="s">
        <v>6</v>
      </c>
      <c r="K74" s="9">
        <v>90</v>
      </c>
    </row>
    <row r="75" spans="1:11" ht="16.5" customHeight="1" x14ac:dyDescent="0.2">
      <c r="A75" s="12">
        <v>124</v>
      </c>
      <c r="B75" s="102" t="s">
        <v>152</v>
      </c>
      <c r="C75" s="103"/>
      <c r="D75" s="102" t="s">
        <v>6</v>
      </c>
      <c r="E75" s="103"/>
      <c r="F75" s="104">
        <v>66.5</v>
      </c>
      <c r="G75" s="105"/>
      <c r="H75" s="13">
        <v>176</v>
      </c>
      <c r="I75" s="7" t="s">
        <v>153</v>
      </c>
      <c r="J75" s="7" t="s">
        <v>6</v>
      </c>
      <c r="K75" s="9">
        <v>30</v>
      </c>
    </row>
    <row r="76" spans="1:11" ht="16.5" customHeight="1" x14ac:dyDescent="0.2">
      <c r="A76" s="6">
        <v>125</v>
      </c>
      <c r="B76" s="102" t="s">
        <v>154</v>
      </c>
      <c r="C76" s="103"/>
      <c r="D76" s="102" t="s">
        <v>6</v>
      </c>
      <c r="E76" s="103"/>
      <c r="F76" s="104">
        <v>52</v>
      </c>
      <c r="G76" s="105"/>
      <c r="H76" s="11">
        <v>177</v>
      </c>
      <c r="I76" s="7" t="s">
        <v>155</v>
      </c>
      <c r="J76" s="7" t="s">
        <v>3</v>
      </c>
      <c r="K76" s="9">
        <v>65</v>
      </c>
    </row>
    <row r="77" spans="1:11" ht="16.5" customHeight="1" x14ac:dyDescent="0.2">
      <c r="A77" s="12">
        <v>126</v>
      </c>
      <c r="B77" s="102" t="s">
        <v>156</v>
      </c>
      <c r="C77" s="103"/>
      <c r="D77" s="102" t="s">
        <v>6</v>
      </c>
      <c r="E77" s="103"/>
      <c r="F77" s="104">
        <v>60.5</v>
      </c>
      <c r="G77" s="105"/>
      <c r="H77" s="13">
        <v>178</v>
      </c>
      <c r="I77" s="7" t="s">
        <v>157</v>
      </c>
      <c r="J77" s="7" t="s">
        <v>37</v>
      </c>
      <c r="K77" s="9">
        <v>50</v>
      </c>
    </row>
    <row r="78" spans="1:11" ht="16.5" customHeight="1" x14ac:dyDescent="0.2">
      <c r="A78" s="6">
        <v>127</v>
      </c>
      <c r="B78" s="102" t="s">
        <v>158</v>
      </c>
      <c r="C78" s="103"/>
      <c r="D78" s="102" t="s">
        <v>3</v>
      </c>
      <c r="E78" s="103"/>
      <c r="F78" s="104">
        <v>84</v>
      </c>
      <c r="G78" s="105"/>
      <c r="H78" s="11">
        <v>179</v>
      </c>
      <c r="I78" s="7" t="s">
        <v>159</v>
      </c>
      <c r="J78" s="7" t="s">
        <v>6</v>
      </c>
      <c r="K78" s="9">
        <v>33</v>
      </c>
    </row>
    <row r="79" spans="1:11" ht="16.5" customHeight="1" x14ac:dyDescent="0.2">
      <c r="A79" s="12">
        <v>128</v>
      </c>
      <c r="B79" s="102" t="s">
        <v>160</v>
      </c>
      <c r="C79" s="103"/>
      <c r="D79" s="102" t="s">
        <v>6</v>
      </c>
      <c r="E79" s="103"/>
      <c r="F79" s="104">
        <v>24</v>
      </c>
      <c r="G79" s="105"/>
      <c r="H79" s="13">
        <v>180</v>
      </c>
      <c r="I79" s="7" t="s">
        <v>161</v>
      </c>
      <c r="J79" s="7" t="s">
        <v>6</v>
      </c>
      <c r="K79" s="9">
        <v>31.5</v>
      </c>
    </row>
    <row r="80" spans="1:11" ht="16.5" customHeight="1" x14ac:dyDescent="0.2">
      <c r="A80" s="6">
        <v>129</v>
      </c>
      <c r="B80" s="102" t="s">
        <v>162</v>
      </c>
      <c r="C80" s="103"/>
      <c r="D80" s="102" t="s">
        <v>12</v>
      </c>
      <c r="E80" s="103"/>
      <c r="F80" s="104">
        <v>55</v>
      </c>
      <c r="G80" s="105"/>
      <c r="H80" s="11">
        <v>181</v>
      </c>
      <c r="I80" s="7" t="s">
        <v>163</v>
      </c>
      <c r="J80" s="7" t="s">
        <v>6</v>
      </c>
      <c r="K80" s="9">
        <v>23</v>
      </c>
    </row>
    <row r="81" spans="1:11" ht="16.5" customHeight="1" x14ac:dyDescent="0.2">
      <c r="A81" s="12">
        <v>130</v>
      </c>
      <c r="B81" s="102" t="s">
        <v>164</v>
      </c>
      <c r="C81" s="103"/>
      <c r="D81" s="102" t="s">
        <v>6</v>
      </c>
      <c r="E81" s="103"/>
      <c r="F81" s="104">
        <v>51</v>
      </c>
      <c r="G81" s="105"/>
      <c r="H81" s="13">
        <v>182</v>
      </c>
      <c r="I81" s="7" t="s">
        <v>165</v>
      </c>
      <c r="J81" s="7" t="s">
        <v>3</v>
      </c>
      <c r="K81" s="9">
        <v>8.5</v>
      </c>
    </row>
    <row r="82" spans="1:11" ht="16.5" customHeight="1" x14ac:dyDescent="0.2">
      <c r="A82" s="6">
        <v>131</v>
      </c>
      <c r="B82" s="102" t="s">
        <v>166</v>
      </c>
      <c r="C82" s="103"/>
      <c r="D82" s="102" t="s">
        <v>12</v>
      </c>
      <c r="E82" s="103"/>
      <c r="F82" s="104">
        <v>29</v>
      </c>
      <c r="G82" s="105"/>
      <c r="H82" s="11">
        <v>183</v>
      </c>
      <c r="I82" s="7" t="s">
        <v>167</v>
      </c>
      <c r="J82" s="7" t="s">
        <v>3</v>
      </c>
      <c r="K82" s="9">
        <v>40</v>
      </c>
    </row>
    <row r="83" spans="1:11" ht="16.5" customHeight="1" x14ac:dyDescent="0.2">
      <c r="A83" s="12">
        <v>132</v>
      </c>
      <c r="B83" s="102" t="s">
        <v>168</v>
      </c>
      <c r="C83" s="103"/>
      <c r="D83" s="102" t="s">
        <v>3</v>
      </c>
      <c r="E83" s="103"/>
      <c r="F83" s="104">
        <v>27</v>
      </c>
      <c r="G83" s="105"/>
      <c r="H83" s="13">
        <v>184</v>
      </c>
      <c r="I83" s="7" t="s">
        <v>169</v>
      </c>
      <c r="J83" s="7" t="s">
        <v>6</v>
      </c>
      <c r="K83" s="9">
        <v>13.5</v>
      </c>
    </row>
    <row r="84" spans="1:11" ht="16.5" customHeight="1" x14ac:dyDescent="0.2">
      <c r="A84" s="6">
        <v>133</v>
      </c>
      <c r="B84" s="102" t="s">
        <v>170</v>
      </c>
      <c r="C84" s="103"/>
      <c r="D84" s="102" t="s">
        <v>3</v>
      </c>
      <c r="E84" s="103"/>
      <c r="F84" s="104">
        <v>10.5</v>
      </c>
      <c r="G84" s="105"/>
      <c r="H84" s="11">
        <v>185</v>
      </c>
      <c r="I84" s="7" t="s">
        <v>171</v>
      </c>
      <c r="J84" s="7" t="s">
        <v>3</v>
      </c>
      <c r="K84" s="9">
        <v>30</v>
      </c>
    </row>
    <row r="85" spans="1:11" ht="16.5" customHeight="1" x14ac:dyDescent="0.2">
      <c r="A85" s="12">
        <v>134</v>
      </c>
      <c r="B85" s="102" t="s">
        <v>172</v>
      </c>
      <c r="C85" s="103"/>
      <c r="D85" s="102" t="s">
        <v>37</v>
      </c>
      <c r="E85" s="103"/>
      <c r="F85" s="104">
        <v>33</v>
      </c>
      <c r="G85" s="105"/>
      <c r="H85" s="13">
        <v>186</v>
      </c>
      <c r="I85" s="7" t="s">
        <v>173</v>
      </c>
      <c r="J85" s="7" t="s">
        <v>6</v>
      </c>
      <c r="K85" s="9">
        <v>11</v>
      </c>
    </row>
    <row r="86" spans="1:11" ht="16.5" customHeight="1" x14ac:dyDescent="0.2">
      <c r="A86" s="6">
        <v>135</v>
      </c>
      <c r="B86" s="102" t="s">
        <v>174</v>
      </c>
      <c r="C86" s="103"/>
      <c r="D86" s="102" t="s">
        <v>45</v>
      </c>
      <c r="E86" s="103"/>
      <c r="F86" s="104">
        <v>88</v>
      </c>
      <c r="G86" s="105"/>
      <c r="H86" s="11">
        <v>187</v>
      </c>
      <c r="I86" s="7" t="s">
        <v>175</v>
      </c>
      <c r="J86" s="7" t="s">
        <v>6</v>
      </c>
      <c r="K86" s="9">
        <v>12</v>
      </c>
    </row>
    <row r="87" spans="1:11" ht="16.5" customHeight="1" x14ac:dyDescent="0.2">
      <c r="A87" s="12">
        <v>136</v>
      </c>
      <c r="B87" s="102" t="s">
        <v>176</v>
      </c>
      <c r="C87" s="103"/>
      <c r="D87" s="102" t="s">
        <v>12</v>
      </c>
      <c r="E87" s="103"/>
      <c r="F87" s="104">
        <v>9.6999999999999993</v>
      </c>
      <c r="G87" s="105"/>
      <c r="H87" s="13">
        <v>188</v>
      </c>
      <c r="I87" s="7" t="s">
        <v>177</v>
      </c>
      <c r="J87" s="7" t="s">
        <v>6</v>
      </c>
      <c r="K87" s="9">
        <v>17</v>
      </c>
    </row>
    <row r="88" spans="1:11" ht="16.5" customHeight="1" x14ac:dyDescent="0.2">
      <c r="A88" s="6">
        <v>137</v>
      </c>
      <c r="B88" s="102" t="s">
        <v>178</v>
      </c>
      <c r="C88" s="103"/>
      <c r="D88" s="102" t="s">
        <v>3</v>
      </c>
      <c r="E88" s="103"/>
      <c r="F88" s="104">
        <v>49</v>
      </c>
      <c r="G88" s="105"/>
      <c r="H88" s="11">
        <v>189</v>
      </c>
      <c r="I88" s="7" t="s">
        <v>179</v>
      </c>
      <c r="J88" s="7" t="s">
        <v>6</v>
      </c>
      <c r="K88" s="9">
        <v>13.5</v>
      </c>
    </row>
    <row r="89" spans="1:11" ht="16.5" customHeight="1" x14ac:dyDescent="0.2">
      <c r="A89" s="12">
        <v>138</v>
      </c>
      <c r="B89" s="102" t="s">
        <v>180</v>
      </c>
      <c r="C89" s="103"/>
      <c r="D89" s="102" t="s">
        <v>6</v>
      </c>
      <c r="E89" s="103"/>
      <c r="F89" s="104">
        <v>42</v>
      </c>
      <c r="G89" s="105"/>
      <c r="H89" s="13">
        <v>190</v>
      </c>
      <c r="I89" s="7" t="s">
        <v>181</v>
      </c>
      <c r="J89" s="7" t="s">
        <v>37</v>
      </c>
      <c r="K89" s="9">
        <v>80</v>
      </c>
    </row>
    <row r="90" spans="1:11" ht="16.5" customHeight="1" x14ac:dyDescent="0.2">
      <c r="A90" s="6">
        <v>139</v>
      </c>
      <c r="B90" s="102" t="s">
        <v>182</v>
      </c>
      <c r="C90" s="103"/>
      <c r="D90" s="102" t="s">
        <v>3</v>
      </c>
      <c r="E90" s="103"/>
      <c r="F90" s="104">
        <v>56</v>
      </c>
      <c r="G90" s="105"/>
      <c r="H90" s="11">
        <v>191</v>
      </c>
      <c r="I90" s="7" t="s">
        <v>183</v>
      </c>
      <c r="J90" s="7" t="s">
        <v>45</v>
      </c>
      <c r="K90" s="9">
        <v>14</v>
      </c>
    </row>
    <row r="91" spans="1:11" ht="16.5" customHeight="1" x14ac:dyDescent="0.2">
      <c r="A91" s="12">
        <v>140</v>
      </c>
      <c r="B91" s="102" t="s">
        <v>184</v>
      </c>
      <c r="C91" s="103"/>
      <c r="D91" s="102" t="s">
        <v>6</v>
      </c>
      <c r="E91" s="103"/>
      <c r="F91" s="104">
        <v>104</v>
      </c>
      <c r="G91" s="105"/>
      <c r="H91" s="13">
        <v>192</v>
      </c>
      <c r="I91" s="7" t="s">
        <v>185</v>
      </c>
      <c r="J91" s="7" t="s">
        <v>6</v>
      </c>
      <c r="K91" s="9">
        <v>55.9</v>
      </c>
    </row>
    <row r="92" spans="1:11" ht="16.5" customHeight="1" x14ac:dyDescent="0.2">
      <c r="A92" s="6">
        <v>141</v>
      </c>
      <c r="B92" s="102" t="s">
        <v>186</v>
      </c>
      <c r="C92" s="103"/>
      <c r="D92" s="102" t="s">
        <v>6</v>
      </c>
      <c r="E92" s="103"/>
      <c r="F92" s="104">
        <v>98</v>
      </c>
      <c r="G92" s="105"/>
      <c r="H92" s="11">
        <v>193</v>
      </c>
      <c r="I92" s="7" t="s">
        <v>187</v>
      </c>
      <c r="J92" s="7" t="s">
        <v>3</v>
      </c>
      <c r="K92" s="9">
        <v>18</v>
      </c>
    </row>
    <row r="93" spans="1:11" ht="16.5" customHeight="1" x14ac:dyDescent="0.2">
      <c r="A93" s="12">
        <v>142</v>
      </c>
      <c r="B93" s="102" t="s">
        <v>188</v>
      </c>
      <c r="C93" s="103"/>
      <c r="D93" s="102" t="s">
        <v>12</v>
      </c>
      <c r="E93" s="103"/>
      <c r="F93" s="104">
        <v>48</v>
      </c>
      <c r="G93" s="105"/>
      <c r="H93" s="13">
        <v>194</v>
      </c>
      <c r="I93" s="7" t="s">
        <v>189</v>
      </c>
      <c r="J93" s="7" t="s">
        <v>12</v>
      </c>
      <c r="K93" s="9">
        <v>15</v>
      </c>
    </row>
    <row r="94" spans="1:11" ht="16.5" customHeight="1" x14ac:dyDescent="0.2">
      <c r="A94" s="6">
        <v>143</v>
      </c>
      <c r="B94" s="102" t="s">
        <v>190</v>
      </c>
      <c r="C94" s="103"/>
      <c r="D94" s="102" t="s">
        <v>6</v>
      </c>
      <c r="E94" s="103"/>
      <c r="F94" s="104">
        <v>136</v>
      </c>
      <c r="G94" s="105"/>
      <c r="H94" s="11">
        <v>195</v>
      </c>
      <c r="I94" s="7" t="s">
        <v>191</v>
      </c>
      <c r="J94" s="7" t="s">
        <v>3</v>
      </c>
      <c r="K94" s="9">
        <v>24</v>
      </c>
    </row>
    <row r="95" spans="1:11" ht="16.5" customHeight="1" x14ac:dyDescent="0.2">
      <c r="A95" s="12">
        <v>144</v>
      </c>
      <c r="B95" s="102" t="s">
        <v>192</v>
      </c>
      <c r="C95" s="103"/>
      <c r="D95" s="102" t="s">
        <v>6</v>
      </c>
      <c r="E95" s="103"/>
      <c r="F95" s="104">
        <v>142</v>
      </c>
      <c r="G95" s="105"/>
      <c r="H95" s="13">
        <v>196</v>
      </c>
      <c r="I95" s="7" t="s">
        <v>193</v>
      </c>
      <c r="J95" s="7" t="s">
        <v>3</v>
      </c>
      <c r="K95" s="9">
        <v>38</v>
      </c>
    </row>
    <row r="96" spans="1:11" ht="16.5" customHeight="1" x14ac:dyDescent="0.2">
      <c r="A96" s="6">
        <v>145</v>
      </c>
      <c r="B96" s="102" t="s">
        <v>194</v>
      </c>
      <c r="C96" s="103"/>
      <c r="D96" s="102" t="s">
        <v>6</v>
      </c>
      <c r="E96" s="103"/>
      <c r="F96" s="104">
        <v>154</v>
      </c>
      <c r="G96" s="105"/>
      <c r="H96" s="11">
        <v>197</v>
      </c>
      <c r="I96" s="7" t="s">
        <v>195</v>
      </c>
      <c r="J96" s="7" t="s">
        <v>6</v>
      </c>
      <c r="K96" s="9">
        <v>32</v>
      </c>
    </row>
    <row r="97" spans="1:11" ht="16.5" customHeight="1" x14ac:dyDescent="0.2">
      <c r="A97" s="12">
        <v>146</v>
      </c>
      <c r="B97" s="102" t="s">
        <v>196</v>
      </c>
      <c r="C97" s="103"/>
      <c r="D97" s="102" t="s">
        <v>6</v>
      </c>
      <c r="E97" s="103"/>
      <c r="F97" s="104">
        <v>16</v>
      </c>
      <c r="G97" s="105"/>
      <c r="H97" s="13">
        <v>198</v>
      </c>
      <c r="I97" s="7" t="s">
        <v>197</v>
      </c>
      <c r="J97" s="7" t="s">
        <v>6</v>
      </c>
      <c r="K97" s="9">
        <v>30</v>
      </c>
    </row>
    <row r="98" spans="1:11" ht="16.5" customHeight="1" x14ac:dyDescent="0.2">
      <c r="A98" s="6">
        <v>147</v>
      </c>
      <c r="B98" s="102" t="s">
        <v>198</v>
      </c>
      <c r="C98" s="103"/>
      <c r="D98" s="102" t="s">
        <v>6</v>
      </c>
      <c r="E98" s="103"/>
      <c r="F98" s="104">
        <v>118</v>
      </c>
      <c r="G98" s="105"/>
      <c r="H98" s="11">
        <v>199</v>
      </c>
      <c r="I98" s="7" t="s">
        <v>199</v>
      </c>
      <c r="J98" s="7" t="s">
        <v>6</v>
      </c>
      <c r="K98" s="9">
        <v>64</v>
      </c>
    </row>
    <row r="99" spans="1:11" ht="16.5" customHeight="1" x14ac:dyDescent="0.2">
      <c r="A99" s="12">
        <v>148</v>
      </c>
      <c r="B99" s="102" t="s">
        <v>200</v>
      </c>
      <c r="C99" s="103"/>
      <c r="D99" s="102" t="s">
        <v>6</v>
      </c>
      <c r="E99" s="103"/>
      <c r="F99" s="104">
        <v>127</v>
      </c>
      <c r="G99" s="105"/>
      <c r="H99" s="13">
        <v>200</v>
      </c>
      <c r="I99" s="7" t="s">
        <v>201</v>
      </c>
      <c r="J99" s="7" t="s">
        <v>3</v>
      </c>
      <c r="K99" s="9">
        <v>30</v>
      </c>
    </row>
    <row r="100" spans="1:11" ht="16.5" customHeight="1" x14ac:dyDescent="0.2">
      <c r="A100" s="6">
        <v>149</v>
      </c>
      <c r="B100" s="102" t="s">
        <v>202</v>
      </c>
      <c r="C100" s="103"/>
      <c r="D100" s="102" t="s">
        <v>3</v>
      </c>
      <c r="E100" s="103"/>
      <c r="F100" s="104">
        <v>42</v>
      </c>
      <c r="G100" s="105"/>
      <c r="H100" s="11">
        <v>201</v>
      </c>
      <c r="I100" s="7" t="s">
        <v>203</v>
      </c>
      <c r="J100" s="7" t="s">
        <v>3</v>
      </c>
      <c r="K100" s="9">
        <v>123</v>
      </c>
    </row>
    <row r="101" spans="1:11" ht="16.5" customHeight="1" x14ac:dyDescent="0.2">
      <c r="A101" s="12">
        <v>150</v>
      </c>
      <c r="B101" s="102" t="s">
        <v>204</v>
      </c>
      <c r="C101" s="103"/>
      <c r="D101" s="102" t="s">
        <v>6</v>
      </c>
      <c r="E101" s="103"/>
      <c r="F101" s="104">
        <v>43</v>
      </c>
      <c r="G101" s="105"/>
      <c r="H101" s="13">
        <v>202</v>
      </c>
      <c r="I101" s="7" t="s">
        <v>205</v>
      </c>
      <c r="J101" s="7" t="s">
        <v>6</v>
      </c>
      <c r="K101" s="9">
        <v>67</v>
      </c>
    </row>
    <row r="102" spans="1:11" ht="16.5" customHeight="1" x14ac:dyDescent="0.2">
      <c r="A102" s="6">
        <v>151</v>
      </c>
      <c r="B102" s="102" t="s">
        <v>206</v>
      </c>
      <c r="C102" s="103"/>
      <c r="D102" s="102" t="s">
        <v>3</v>
      </c>
      <c r="E102" s="103"/>
      <c r="F102" s="104">
        <v>13.6</v>
      </c>
      <c r="G102" s="105"/>
      <c r="H102" s="11">
        <v>203</v>
      </c>
      <c r="I102" s="7" t="s">
        <v>207</v>
      </c>
      <c r="J102" s="7" t="s">
        <v>6</v>
      </c>
      <c r="K102" s="9">
        <v>14</v>
      </c>
    </row>
    <row r="103" spans="1:11" ht="16.5" customHeight="1" x14ac:dyDescent="0.2">
      <c r="A103" s="12">
        <v>152</v>
      </c>
      <c r="B103" s="102" t="s">
        <v>208</v>
      </c>
      <c r="C103" s="103"/>
      <c r="D103" s="102" t="s">
        <v>6</v>
      </c>
      <c r="E103" s="103"/>
      <c r="F103" s="104">
        <v>11</v>
      </c>
      <c r="G103" s="105"/>
      <c r="H103" s="13">
        <v>204</v>
      </c>
      <c r="I103" s="7" t="s">
        <v>209</v>
      </c>
      <c r="J103" s="7" t="s">
        <v>3</v>
      </c>
      <c r="K103" s="9">
        <v>34.200000000000003</v>
      </c>
    </row>
    <row r="104" spans="1:11" ht="16.5" customHeight="1" x14ac:dyDescent="0.2">
      <c r="A104" s="6">
        <v>153</v>
      </c>
      <c r="B104" s="102" t="s">
        <v>210</v>
      </c>
      <c r="C104" s="103"/>
      <c r="D104" s="102" t="s">
        <v>6</v>
      </c>
      <c r="E104" s="103"/>
      <c r="F104" s="104">
        <v>80</v>
      </c>
      <c r="G104" s="105"/>
      <c r="H104" s="11">
        <v>205</v>
      </c>
      <c r="I104" s="7" t="s">
        <v>211</v>
      </c>
      <c r="J104" s="7" t="s">
        <v>3</v>
      </c>
      <c r="K104" s="9">
        <v>23</v>
      </c>
    </row>
    <row r="105" spans="1:11" ht="16.5" customHeight="1" x14ac:dyDescent="0.2">
      <c r="A105" s="12">
        <v>154</v>
      </c>
      <c r="B105" s="102" t="s">
        <v>212</v>
      </c>
      <c r="C105" s="103"/>
      <c r="D105" s="102" t="s">
        <v>6</v>
      </c>
      <c r="E105" s="103"/>
      <c r="F105" s="104">
        <v>26</v>
      </c>
      <c r="G105" s="105"/>
      <c r="H105" s="13">
        <v>206</v>
      </c>
      <c r="I105" s="7" t="s">
        <v>213</v>
      </c>
      <c r="J105" s="7" t="s">
        <v>6</v>
      </c>
      <c r="K105" s="9">
        <v>35</v>
      </c>
    </row>
    <row r="106" spans="1:11" ht="16.5" customHeight="1" x14ac:dyDescent="0.2">
      <c r="A106" s="6">
        <v>155</v>
      </c>
      <c r="B106" s="102" t="s">
        <v>214</v>
      </c>
      <c r="C106" s="103"/>
      <c r="D106" s="102" t="s">
        <v>6</v>
      </c>
      <c r="E106" s="103"/>
      <c r="F106" s="104">
        <v>23</v>
      </c>
      <c r="G106" s="105"/>
      <c r="H106" s="11">
        <v>207</v>
      </c>
      <c r="I106" s="7" t="s">
        <v>215</v>
      </c>
      <c r="J106" s="7" t="s">
        <v>6</v>
      </c>
      <c r="K106" s="9">
        <v>25</v>
      </c>
    </row>
    <row r="107" spans="1:11" ht="16.5" customHeight="1" x14ac:dyDescent="0.2">
      <c r="A107" s="14">
        <v>156</v>
      </c>
      <c r="B107" s="102" t="s">
        <v>216</v>
      </c>
      <c r="C107" s="103"/>
      <c r="D107" s="102" t="s">
        <v>111</v>
      </c>
      <c r="E107" s="103"/>
      <c r="F107" s="106">
        <v>34</v>
      </c>
      <c r="G107" s="107"/>
      <c r="H107" s="17">
        <v>208</v>
      </c>
      <c r="I107" s="7" t="s">
        <v>217</v>
      </c>
      <c r="J107" s="7" t="s">
        <v>218</v>
      </c>
      <c r="K107" s="15">
        <v>46</v>
      </c>
    </row>
    <row r="108" spans="1:11" ht="14.25" customHeight="1" x14ac:dyDescent="0.2">
      <c r="A108" s="1"/>
      <c r="B108" s="97" t="s">
        <v>1</v>
      </c>
      <c r="C108" s="98"/>
      <c r="D108" s="99"/>
      <c r="E108" s="100"/>
      <c r="F108" s="99"/>
      <c r="G108" s="100"/>
      <c r="H108" s="4"/>
      <c r="I108" s="2" t="s">
        <v>1</v>
      </c>
      <c r="J108" s="3"/>
      <c r="K108" s="3"/>
    </row>
    <row r="109" spans="1:11" ht="16.5" customHeight="1" x14ac:dyDescent="0.2">
      <c r="A109" s="6">
        <v>209</v>
      </c>
      <c r="B109" s="102" t="s">
        <v>219</v>
      </c>
      <c r="C109" s="103"/>
      <c r="D109" s="102" t="s">
        <v>12</v>
      </c>
      <c r="E109" s="103"/>
      <c r="F109" s="104">
        <v>44</v>
      </c>
      <c r="G109" s="105"/>
      <c r="H109" s="11">
        <v>261</v>
      </c>
      <c r="I109" s="7" t="s">
        <v>220</v>
      </c>
      <c r="J109" s="7" t="s">
        <v>6</v>
      </c>
      <c r="K109" s="9">
        <v>35</v>
      </c>
    </row>
    <row r="110" spans="1:11" ht="16.5" customHeight="1" x14ac:dyDescent="0.2">
      <c r="A110" s="6">
        <v>210</v>
      </c>
      <c r="B110" s="102" t="s">
        <v>221</v>
      </c>
      <c r="C110" s="103"/>
      <c r="D110" s="102" t="s">
        <v>3</v>
      </c>
      <c r="E110" s="103"/>
      <c r="F110" s="104">
        <v>27</v>
      </c>
      <c r="G110" s="105"/>
      <c r="H110" s="11">
        <v>262</v>
      </c>
      <c r="I110" s="7" t="s">
        <v>222</v>
      </c>
      <c r="J110" s="7" t="s">
        <v>6</v>
      </c>
      <c r="K110" s="9">
        <v>24.6</v>
      </c>
    </row>
    <row r="111" spans="1:11" ht="16.5" customHeight="1" x14ac:dyDescent="0.2">
      <c r="A111" s="6">
        <v>211</v>
      </c>
      <c r="B111" s="102" t="s">
        <v>223</v>
      </c>
      <c r="C111" s="103"/>
      <c r="D111" s="102" t="s">
        <v>6</v>
      </c>
      <c r="E111" s="103"/>
      <c r="F111" s="104">
        <v>19</v>
      </c>
      <c r="G111" s="105"/>
      <c r="H111" s="11">
        <v>263</v>
      </c>
      <c r="I111" s="7" t="s">
        <v>224</v>
      </c>
      <c r="J111" s="7" t="s">
        <v>6</v>
      </c>
      <c r="K111" s="9">
        <v>65</v>
      </c>
    </row>
    <row r="112" spans="1:11" ht="16.5" customHeight="1" x14ac:dyDescent="0.2">
      <c r="A112" s="6">
        <v>212</v>
      </c>
      <c r="B112" s="102" t="s">
        <v>225</v>
      </c>
      <c r="C112" s="103"/>
      <c r="D112" s="102" t="s">
        <v>6</v>
      </c>
      <c r="E112" s="103"/>
      <c r="F112" s="104">
        <v>39</v>
      </c>
      <c r="G112" s="105"/>
      <c r="H112" s="11">
        <v>264</v>
      </c>
      <c r="I112" s="7" t="s">
        <v>226</v>
      </c>
      <c r="J112" s="7" t="s">
        <v>227</v>
      </c>
      <c r="K112" s="9">
        <v>84</v>
      </c>
    </row>
    <row r="113" spans="1:11" ht="16.5" customHeight="1" x14ac:dyDescent="0.2">
      <c r="A113" s="6">
        <v>213</v>
      </c>
      <c r="B113" s="102" t="s">
        <v>228</v>
      </c>
      <c r="C113" s="103"/>
      <c r="D113" s="102" t="s">
        <v>101</v>
      </c>
      <c r="E113" s="103"/>
      <c r="F113" s="104">
        <v>21.5</v>
      </c>
      <c r="G113" s="105"/>
      <c r="H113" s="11">
        <v>265</v>
      </c>
      <c r="I113" s="7" t="s">
        <v>229</v>
      </c>
      <c r="J113" s="7" t="s">
        <v>12</v>
      </c>
      <c r="K113" s="9">
        <v>30.5</v>
      </c>
    </row>
    <row r="114" spans="1:11" ht="16.5" customHeight="1" x14ac:dyDescent="0.2">
      <c r="A114" s="6">
        <v>214</v>
      </c>
      <c r="B114" s="102" t="s">
        <v>230</v>
      </c>
      <c r="C114" s="103"/>
      <c r="D114" s="102" t="s">
        <v>6</v>
      </c>
      <c r="E114" s="103"/>
      <c r="F114" s="104">
        <v>46</v>
      </c>
      <c r="G114" s="105"/>
      <c r="H114" s="11">
        <v>266</v>
      </c>
      <c r="I114" s="7" t="s">
        <v>231</v>
      </c>
      <c r="J114" s="7" t="s">
        <v>6</v>
      </c>
      <c r="K114" s="9">
        <v>65</v>
      </c>
    </row>
    <row r="115" spans="1:11" ht="16.5" customHeight="1" x14ac:dyDescent="0.2">
      <c r="A115" s="6">
        <v>215</v>
      </c>
      <c r="B115" s="102" t="s">
        <v>232</v>
      </c>
      <c r="C115" s="103"/>
      <c r="D115" s="102" t="s">
        <v>6</v>
      </c>
      <c r="E115" s="103"/>
      <c r="F115" s="104">
        <v>10</v>
      </c>
      <c r="G115" s="105"/>
      <c r="H115" s="11">
        <v>267</v>
      </c>
      <c r="I115" s="7" t="s">
        <v>233</v>
      </c>
      <c r="J115" s="7" t="s">
        <v>12</v>
      </c>
      <c r="K115" s="9">
        <v>35</v>
      </c>
    </row>
    <row r="116" spans="1:11" ht="16.5" customHeight="1" x14ac:dyDescent="0.2">
      <c r="A116" s="6">
        <v>216</v>
      </c>
      <c r="B116" s="102" t="s">
        <v>234</v>
      </c>
      <c r="C116" s="103"/>
      <c r="D116" s="102" t="s">
        <v>6</v>
      </c>
      <c r="E116" s="103"/>
      <c r="F116" s="104">
        <v>38</v>
      </c>
      <c r="G116" s="105"/>
      <c r="H116" s="11">
        <v>268</v>
      </c>
      <c r="I116" s="7" t="s">
        <v>235</v>
      </c>
      <c r="J116" s="7" t="s">
        <v>6</v>
      </c>
      <c r="K116" s="9">
        <v>85</v>
      </c>
    </row>
    <row r="117" spans="1:11" ht="16.5" customHeight="1" x14ac:dyDescent="0.2">
      <c r="A117" s="6">
        <v>217</v>
      </c>
      <c r="B117" s="102" t="s">
        <v>236</v>
      </c>
      <c r="C117" s="103"/>
      <c r="D117" s="102" t="s">
        <v>3</v>
      </c>
      <c r="E117" s="103"/>
      <c r="F117" s="104">
        <v>8</v>
      </c>
      <c r="G117" s="105"/>
      <c r="H117" s="11">
        <v>269</v>
      </c>
      <c r="I117" s="7" t="s">
        <v>237</v>
      </c>
      <c r="J117" s="7" t="s">
        <v>6</v>
      </c>
      <c r="K117" s="9">
        <v>14</v>
      </c>
    </row>
    <row r="118" spans="1:11" ht="16.5" customHeight="1" x14ac:dyDescent="0.2">
      <c r="A118" s="6">
        <v>218</v>
      </c>
      <c r="B118" s="102" t="s">
        <v>238</v>
      </c>
      <c r="C118" s="103"/>
      <c r="D118" s="102" t="s">
        <v>6</v>
      </c>
      <c r="E118" s="103"/>
      <c r="F118" s="104">
        <v>50</v>
      </c>
      <c r="G118" s="105"/>
      <c r="H118" s="11">
        <v>270</v>
      </c>
      <c r="I118" s="7" t="s">
        <v>239</v>
      </c>
      <c r="J118" s="7" t="s">
        <v>3</v>
      </c>
      <c r="K118" s="9">
        <v>37</v>
      </c>
    </row>
    <row r="119" spans="1:11" ht="16.5" customHeight="1" x14ac:dyDescent="0.2">
      <c r="A119" s="6">
        <v>219</v>
      </c>
      <c r="B119" s="102" t="s">
        <v>240</v>
      </c>
      <c r="C119" s="103"/>
      <c r="D119" s="102" t="s">
        <v>3</v>
      </c>
      <c r="E119" s="103"/>
      <c r="F119" s="104">
        <v>6.2</v>
      </c>
      <c r="G119" s="105"/>
      <c r="H119" s="11">
        <v>271</v>
      </c>
      <c r="I119" s="7" t="s">
        <v>241</v>
      </c>
      <c r="J119" s="7" t="s">
        <v>3</v>
      </c>
      <c r="K119" s="9">
        <v>25</v>
      </c>
    </row>
    <row r="120" spans="1:11" ht="16.5" customHeight="1" x14ac:dyDescent="0.2">
      <c r="A120" s="6">
        <v>220</v>
      </c>
      <c r="B120" s="102" t="s">
        <v>242</v>
      </c>
      <c r="C120" s="103"/>
      <c r="D120" s="102" t="s">
        <v>6</v>
      </c>
      <c r="E120" s="103"/>
      <c r="F120" s="104">
        <v>25</v>
      </c>
      <c r="G120" s="105"/>
      <c r="H120" s="11">
        <v>272</v>
      </c>
      <c r="I120" s="7" t="s">
        <v>243</v>
      </c>
      <c r="J120" s="7" t="s">
        <v>3</v>
      </c>
      <c r="K120" s="9">
        <v>80.5</v>
      </c>
    </row>
    <row r="121" spans="1:11" ht="16.5" customHeight="1" x14ac:dyDescent="0.2">
      <c r="A121" s="6">
        <v>221</v>
      </c>
      <c r="B121" s="102" t="s">
        <v>244</v>
      </c>
      <c r="C121" s="103"/>
      <c r="D121" s="102" t="s">
        <v>6</v>
      </c>
      <c r="E121" s="103"/>
      <c r="F121" s="104">
        <v>35</v>
      </c>
      <c r="G121" s="105"/>
      <c r="H121" s="11">
        <v>273</v>
      </c>
      <c r="I121" s="7" t="s">
        <v>245</v>
      </c>
      <c r="J121" s="7" t="s">
        <v>6</v>
      </c>
      <c r="K121" s="9">
        <v>82</v>
      </c>
    </row>
    <row r="122" spans="1:11" ht="16.5" customHeight="1" x14ac:dyDescent="0.2">
      <c r="A122" s="12">
        <v>222</v>
      </c>
      <c r="B122" s="102" t="s">
        <v>246</v>
      </c>
      <c r="C122" s="103"/>
      <c r="D122" s="102" t="s">
        <v>6</v>
      </c>
      <c r="E122" s="103"/>
      <c r="F122" s="104">
        <v>95</v>
      </c>
      <c r="G122" s="105"/>
      <c r="H122" s="13">
        <v>274</v>
      </c>
      <c r="I122" s="7" t="s">
        <v>247</v>
      </c>
      <c r="J122" s="7" t="s">
        <v>6</v>
      </c>
      <c r="K122" s="9">
        <v>45</v>
      </c>
    </row>
    <row r="123" spans="1:11" ht="16.5" customHeight="1" x14ac:dyDescent="0.2">
      <c r="A123" s="6">
        <v>223</v>
      </c>
      <c r="B123" s="102" t="s">
        <v>248</v>
      </c>
      <c r="C123" s="103"/>
      <c r="D123" s="102" t="s">
        <v>6</v>
      </c>
      <c r="E123" s="103"/>
      <c r="F123" s="104">
        <v>125</v>
      </c>
      <c r="G123" s="105"/>
      <c r="H123" s="11">
        <v>275</v>
      </c>
      <c r="I123" s="7" t="s">
        <v>249</v>
      </c>
      <c r="J123" s="7" t="s">
        <v>6</v>
      </c>
      <c r="K123" s="9">
        <v>15</v>
      </c>
    </row>
    <row r="124" spans="1:11" ht="16.5" customHeight="1" x14ac:dyDescent="0.2">
      <c r="A124" s="12">
        <v>224</v>
      </c>
      <c r="B124" s="102" t="s">
        <v>250</v>
      </c>
      <c r="C124" s="103"/>
      <c r="D124" s="102" t="s">
        <v>6</v>
      </c>
      <c r="E124" s="103"/>
      <c r="F124" s="104">
        <v>15</v>
      </c>
      <c r="G124" s="105"/>
      <c r="H124" s="13">
        <v>276</v>
      </c>
      <c r="I124" s="7" t="s">
        <v>251</v>
      </c>
      <c r="J124" s="7" t="s">
        <v>6</v>
      </c>
      <c r="K124" s="9">
        <v>72</v>
      </c>
    </row>
    <row r="125" spans="1:11" ht="16.5" customHeight="1" x14ac:dyDescent="0.2">
      <c r="A125" s="6">
        <v>225</v>
      </c>
      <c r="B125" s="102" t="s">
        <v>252</v>
      </c>
      <c r="C125" s="103"/>
      <c r="D125" s="102" t="s">
        <v>6</v>
      </c>
      <c r="E125" s="103"/>
      <c r="F125" s="104">
        <v>21.8</v>
      </c>
      <c r="G125" s="105"/>
      <c r="H125" s="11">
        <v>277</v>
      </c>
      <c r="I125" s="7" t="s">
        <v>253</v>
      </c>
      <c r="J125" s="7" t="s">
        <v>3</v>
      </c>
      <c r="K125" s="9">
        <v>100</v>
      </c>
    </row>
    <row r="126" spans="1:11" ht="16.5" customHeight="1" x14ac:dyDescent="0.2">
      <c r="A126" s="12">
        <v>226</v>
      </c>
      <c r="B126" s="102" t="s">
        <v>254</v>
      </c>
      <c r="C126" s="103"/>
      <c r="D126" s="102" t="s">
        <v>6</v>
      </c>
      <c r="E126" s="103"/>
      <c r="F126" s="104">
        <v>35</v>
      </c>
      <c r="G126" s="105"/>
      <c r="H126" s="13">
        <v>278</v>
      </c>
      <c r="I126" s="7" t="s">
        <v>255</v>
      </c>
      <c r="J126" s="7" t="s">
        <v>37</v>
      </c>
      <c r="K126" s="9">
        <v>42</v>
      </c>
    </row>
    <row r="127" spans="1:11" ht="16.5" customHeight="1" x14ac:dyDescent="0.2">
      <c r="A127" s="6">
        <v>227</v>
      </c>
      <c r="B127" s="102" t="s">
        <v>256</v>
      </c>
      <c r="C127" s="103"/>
      <c r="D127" s="102" t="s">
        <v>6</v>
      </c>
      <c r="E127" s="103"/>
      <c r="F127" s="104">
        <v>29</v>
      </c>
      <c r="G127" s="105"/>
      <c r="H127" s="11">
        <v>279</v>
      </c>
      <c r="I127" s="7" t="s">
        <v>257</v>
      </c>
      <c r="J127" s="7" t="s">
        <v>6</v>
      </c>
      <c r="K127" s="9">
        <v>47.5</v>
      </c>
    </row>
    <row r="128" spans="1:11" ht="16.5" customHeight="1" x14ac:dyDescent="0.2">
      <c r="A128" s="12">
        <v>228</v>
      </c>
      <c r="B128" s="102" t="s">
        <v>258</v>
      </c>
      <c r="C128" s="103"/>
      <c r="D128" s="102" t="s">
        <v>6</v>
      </c>
      <c r="E128" s="103"/>
      <c r="F128" s="104">
        <v>40</v>
      </c>
      <c r="G128" s="105"/>
      <c r="H128" s="13">
        <v>280</v>
      </c>
      <c r="I128" s="7" t="s">
        <v>259</v>
      </c>
      <c r="J128" s="7" t="s">
        <v>6</v>
      </c>
      <c r="K128" s="9">
        <v>66</v>
      </c>
    </row>
    <row r="129" spans="1:11" ht="16.5" customHeight="1" x14ac:dyDescent="0.2">
      <c r="A129" s="6">
        <v>229</v>
      </c>
      <c r="B129" s="102" t="s">
        <v>260</v>
      </c>
      <c r="C129" s="103"/>
      <c r="D129" s="102" t="s">
        <v>6</v>
      </c>
      <c r="E129" s="103"/>
      <c r="F129" s="104">
        <v>16</v>
      </c>
      <c r="G129" s="105"/>
      <c r="H129" s="11">
        <v>281</v>
      </c>
      <c r="I129" s="7" t="s">
        <v>261</v>
      </c>
      <c r="J129" s="7" t="s">
        <v>6</v>
      </c>
      <c r="K129" s="9">
        <v>122</v>
      </c>
    </row>
    <row r="130" spans="1:11" ht="16.5" customHeight="1" x14ac:dyDescent="0.2">
      <c r="A130" s="12">
        <v>230</v>
      </c>
      <c r="B130" s="102" t="s">
        <v>262</v>
      </c>
      <c r="C130" s="103"/>
      <c r="D130" s="102" t="s">
        <v>6</v>
      </c>
      <c r="E130" s="103"/>
      <c r="F130" s="104">
        <v>36</v>
      </c>
      <c r="G130" s="105"/>
      <c r="H130" s="13">
        <v>282</v>
      </c>
      <c r="I130" s="7" t="s">
        <v>263</v>
      </c>
      <c r="J130" s="7" t="s">
        <v>6</v>
      </c>
      <c r="K130" s="9">
        <v>78</v>
      </c>
    </row>
    <row r="131" spans="1:11" ht="16.5" customHeight="1" x14ac:dyDescent="0.2">
      <c r="A131" s="6">
        <v>231</v>
      </c>
      <c r="B131" s="102" t="s">
        <v>264</v>
      </c>
      <c r="C131" s="103"/>
      <c r="D131" s="102" t="s">
        <v>6</v>
      </c>
      <c r="E131" s="103"/>
      <c r="F131" s="104">
        <v>16</v>
      </c>
      <c r="G131" s="105"/>
      <c r="H131" s="11">
        <v>283</v>
      </c>
      <c r="I131" s="7" t="s">
        <v>265</v>
      </c>
      <c r="J131" s="7" t="s">
        <v>3</v>
      </c>
      <c r="K131" s="9">
        <v>39</v>
      </c>
    </row>
    <row r="132" spans="1:11" ht="16.5" customHeight="1" x14ac:dyDescent="0.2">
      <c r="A132" s="12">
        <v>232</v>
      </c>
      <c r="B132" s="102" t="s">
        <v>266</v>
      </c>
      <c r="C132" s="103"/>
      <c r="D132" s="102" t="s">
        <v>6</v>
      </c>
      <c r="E132" s="103"/>
      <c r="F132" s="104">
        <v>20</v>
      </c>
      <c r="G132" s="105"/>
      <c r="H132" s="13">
        <v>284</v>
      </c>
      <c r="I132" s="7" t="s">
        <v>267</v>
      </c>
      <c r="J132" s="7" t="s">
        <v>101</v>
      </c>
      <c r="K132" s="9">
        <v>5</v>
      </c>
    </row>
    <row r="133" spans="1:11" ht="16.5" customHeight="1" x14ac:dyDescent="0.2">
      <c r="A133" s="6">
        <v>233</v>
      </c>
      <c r="B133" s="102" t="s">
        <v>268</v>
      </c>
      <c r="C133" s="103"/>
      <c r="D133" s="102" t="s">
        <v>6</v>
      </c>
      <c r="E133" s="103"/>
      <c r="F133" s="104">
        <v>29</v>
      </c>
      <c r="G133" s="105"/>
      <c r="H133" s="11">
        <v>285</v>
      </c>
      <c r="I133" s="7" t="s">
        <v>269</v>
      </c>
      <c r="J133" s="7" t="s">
        <v>3</v>
      </c>
      <c r="K133" s="9">
        <v>16.5</v>
      </c>
    </row>
    <row r="134" spans="1:11" ht="16.5" customHeight="1" x14ac:dyDescent="0.2">
      <c r="A134" s="12">
        <v>234</v>
      </c>
      <c r="B134" s="102" t="s">
        <v>270</v>
      </c>
      <c r="C134" s="103"/>
      <c r="D134" s="102" t="s">
        <v>6</v>
      </c>
      <c r="E134" s="103"/>
      <c r="F134" s="104">
        <v>26.5</v>
      </c>
      <c r="G134" s="105"/>
      <c r="H134" s="13">
        <v>286</v>
      </c>
      <c r="I134" s="7" t="s">
        <v>271</v>
      </c>
      <c r="J134" s="7" t="s">
        <v>6</v>
      </c>
      <c r="K134" s="9">
        <v>5.7</v>
      </c>
    </row>
    <row r="135" spans="1:11" ht="16.5" customHeight="1" x14ac:dyDescent="0.2">
      <c r="A135" s="6">
        <v>235</v>
      </c>
      <c r="B135" s="102" t="s">
        <v>272</v>
      </c>
      <c r="C135" s="103"/>
      <c r="D135" s="102" t="s">
        <v>6</v>
      </c>
      <c r="E135" s="103"/>
      <c r="F135" s="104">
        <v>18</v>
      </c>
      <c r="G135" s="105"/>
      <c r="H135" s="11">
        <v>287</v>
      </c>
      <c r="I135" s="7" t="s">
        <v>273</v>
      </c>
      <c r="J135" s="7" t="s">
        <v>6</v>
      </c>
      <c r="K135" s="9">
        <v>19</v>
      </c>
    </row>
    <row r="136" spans="1:11" ht="16.5" customHeight="1" x14ac:dyDescent="0.2">
      <c r="A136" s="12">
        <v>236</v>
      </c>
      <c r="B136" s="102" t="s">
        <v>274</v>
      </c>
      <c r="C136" s="103"/>
      <c r="D136" s="102" t="s">
        <v>6</v>
      </c>
      <c r="E136" s="103"/>
      <c r="F136" s="104">
        <v>26</v>
      </c>
      <c r="G136" s="105"/>
      <c r="H136" s="13">
        <v>288</v>
      </c>
      <c r="I136" s="7" t="s">
        <v>275</v>
      </c>
      <c r="J136" s="7" t="s">
        <v>6</v>
      </c>
      <c r="K136" s="9">
        <v>15.5</v>
      </c>
    </row>
    <row r="137" spans="1:11" ht="16.5" customHeight="1" x14ac:dyDescent="0.2">
      <c r="A137" s="6">
        <v>237</v>
      </c>
      <c r="B137" s="102" t="s">
        <v>276</v>
      </c>
      <c r="C137" s="103"/>
      <c r="D137" s="102" t="s">
        <v>6</v>
      </c>
      <c r="E137" s="103"/>
      <c r="F137" s="104">
        <v>44</v>
      </c>
      <c r="G137" s="105"/>
      <c r="H137" s="11">
        <v>289</v>
      </c>
      <c r="I137" s="7" t="s">
        <v>277</v>
      </c>
      <c r="J137" s="7" t="s">
        <v>3</v>
      </c>
      <c r="K137" s="9">
        <v>25</v>
      </c>
    </row>
    <row r="138" spans="1:11" ht="16.5" customHeight="1" x14ac:dyDescent="0.2">
      <c r="A138" s="12">
        <v>238</v>
      </c>
      <c r="B138" s="102" t="s">
        <v>278</v>
      </c>
      <c r="C138" s="103"/>
      <c r="D138" s="102" t="s">
        <v>6</v>
      </c>
      <c r="E138" s="103"/>
      <c r="F138" s="104">
        <v>36</v>
      </c>
      <c r="G138" s="105"/>
      <c r="H138" s="13">
        <v>290</v>
      </c>
      <c r="I138" s="7" t="s">
        <v>279</v>
      </c>
      <c r="J138" s="7" t="s">
        <v>6</v>
      </c>
      <c r="K138" s="9">
        <v>39</v>
      </c>
    </row>
    <row r="139" spans="1:11" ht="16.5" customHeight="1" x14ac:dyDescent="0.2">
      <c r="A139" s="6">
        <v>239</v>
      </c>
      <c r="B139" s="102" t="s">
        <v>280</v>
      </c>
      <c r="C139" s="103"/>
      <c r="D139" s="102" t="s">
        <v>6</v>
      </c>
      <c r="E139" s="103"/>
      <c r="F139" s="104">
        <v>312</v>
      </c>
      <c r="G139" s="105"/>
      <c r="H139" s="11">
        <v>291</v>
      </c>
      <c r="I139" s="7" t="s">
        <v>281</v>
      </c>
      <c r="J139" s="7" t="s">
        <v>6</v>
      </c>
      <c r="K139" s="9">
        <v>190</v>
      </c>
    </row>
    <row r="140" spans="1:11" ht="16.5" customHeight="1" x14ac:dyDescent="0.2">
      <c r="A140" s="12">
        <v>240</v>
      </c>
      <c r="B140" s="102" t="s">
        <v>282</v>
      </c>
      <c r="C140" s="103"/>
      <c r="D140" s="102" t="s">
        <v>6</v>
      </c>
      <c r="E140" s="103"/>
      <c r="F140" s="104">
        <v>42</v>
      </c>
      <c r="G140" s="105"/>
      <c r="H140" s="13">
        <v>292</v>
      </c>
      <c r="I140" s="7" t="s">
        <v>283</v>
      </c>
      <c r="J140" s="7" t="s">
        <v>3</v>
      </c>
      <c r="K140" s="9">
        <v>20</v>
      </c>
    </row>
    <row r="141" spans="1:11" ht="16.5" customHeight="1" x14ac:dyDescent="0.2">
      <c r="A141" s="6">
        <v>241</v>
      </c>
      <c r="B141" s="102" t="s">
        <v>284</v>
      </c>
      <c r="C141" s="103"/>
      <c r="D141" s="102" t="s">
        <v>6</v>
      </c>
      <c r="E141" s="103"/>
      <c r="F141" s="104">
        <v>38</v>
      </c>
      <c r="G141" s="105"/>
      <c r="H141" s="11">
        <v>293</v>
      </c>
      <c r="I141" s="7" t="s">
        <v>285</v>
      </c>
      <c r="J141" s="7" t="s">
        <v>6</v>
      </c>
      <c r="K141" s="9">
        <v>19</v>
      </c>
    </row>
    <row r="142" spans="1:11" ht="16.5" customHeight="1" x14ac:dyDescent="0.2">
      <c r="A142" s="12">
        <v>242</v>
      </c>
      <c r="B142" s="102" t="s">
        <v>286</v>
      </c>
      <c r="C142" s="103"/>
      <c r="D142" s="102" t="s">
        <v>6</v>
      </c>
      <c r="E142" s="103"/>
      <c r="F142" s="104">
        <v>22.5</v>
      </c>
      <c r="G142" s="105"/>
      <c r="H142" s="13">
        <v>294</v>
      </c>
      <c r="I142" s="7" t="s">
        <v>287</v>
      </c>
      <c r="J142" s="7" t="s">
        <v>3</v>
      </c>
      <c r="K142" s="9">
        <v>30</v>
      </c>
    </row>
    <row r="143" spans="1:11" ht="16.5" customHeight="1" x14ac:dyDescent="0.2">
      <c r="A143" s="6">
        <v>243</v>
      </c>
      <c r="B143" s="102" t="s">
        <v>288</v>
      </c>
      <c r="C143" s="103"/>
      <c r="D143" s="102" t="s">
        <v>6</v>
      </c>
      <c r="E143" s="103"/>
      <c r="F143" s="104">
        <v>3.8</v>
      </c>
      <c r="G143" s="105"/>
      <c r="H143" s="11">
        <v>295</v>
      </c>
      <c r="I143" s="7" t="s">
        <v>289</v>
      </c>
      <c r="J143" s="7" t="s">
        <v>6</v>
      </c>
      <c r="K143" s="9">
        <v>42</v>
      </c>
    </row>
    <row r="144" spans="1:11" ht="16.5" customHeight="1" x14ac:dyDescent="0.2">
      <c r="A144" s="12">
        <v>244</v>
      </c>
      <c r="B144" s="102" t="s">
        <v>290</v>
      </c>
      <c r="C144" s="103"/>
      <c r="D144" s="102" t="s">
        <v>3</v>
      </c>
      <c r="E144" s="103"/>
      <c r="F144" s="104">
        <v>29</v>
      </c>
      <c r="G144" s="105"/>
      <c r="H144" s="13">
        <v>296</v>
      </c>
      <c r="I144" s="7" t="s">
        <v>291</v>
      </c>
      <c r="J144" s="7" t="s">
        <v>6</v>
      </c>
      <c r="K144" s="9">
        <v>35</v>
      </c>
    </row>
    <row r="145" spans="1:11" ht="16.5" customHeight="1" x14ac:dyDescent="0.2">
      <c r="A145" s="6">
        <v>245</v>
      </c>
      <c r="B145" s="102" t="s">
        <v>292</v>
      </c>
      <c r="C145" s="103"/>
      <c r="D145" s="102" t="s">
        <v>3</v>
      </c>
      <c r="E145" s="103"/>
      <c r="F145" s="104">
        <v>58</v>
      </c>
      <c r="G145" s="105"/>
      <c r="H145" s="11">
        <v>297</v>
      </c>
      <c r="I145" s="7" t="s">
        <v>293</v>
      </c>
      <c r="J145" s="7" t="s">
        <v>101</v>
      </c>
      <c r="K145" s="9">
        <v>19</v>
      </c>
    </row>
    <row r="146" spans="1:11" ht="16.5" customHeight="1" x14ac:dyDescent="0.2">
      <c r="A146" s="12">
        <v>246</v>
      </c>
      <c r="B146" s="102" t="s">
        <v>294</v>
      </c>
      <c r="C146" s="103"/>
      <c r="D146" s="102" t="s">
        <v>6</v>
      </c>
      <c r="E146" s="103"/>
      <c r="F146" s="104">
        <v>56</v>
      </c>
      <c r="G146" s="105"/>
      <c r="H146" s="13">
        <v>298</v>
      </c>
      <c r="I146" s="7" t="s">
        <v>295</v>
      </c>
      <c r="J146" s="7" t="s">
        <v>101</v>
      </c>
      <c r="K146" s="9">
        <v>43</v>
      </c>
    </row>
    <row r="147" spans="1:11" ht="16.5" customHeight="1" x14ac:dyDescent="0.2">
      <c r="A147" s="6">
        <v>247</v>
      </c>
      <c r="B147" s="102" t="s">
        <v>296</v>
      </c>
      <c r="C147" s="103"/>
      <c r="D147" s="102" t="s">
        <v>6</v>
      </c>
      <c r="E147" s="103"/>
      <c r="F147" s="104">
        <v>55</v>
      </c>
      <c r="G147" s="105"/>
      <c r="H147" s="11">
        <v>299</v>
      </c>
      <c r="I147" s="7" t="s">
        <v>297</v>
      </c>
      <c r="J147" s="7" t="s">
        <v>6</v>
      </c>
      <c r="K147" s="9">
        <v>25.3</v>
      </c>
    </row>
    <row r="148" spans="1:11" ht="16.5" customHeight="1" x14ac:dyDescent="0.2">
      <c r="A148" s="12">
        <v>248</v>
      </c>
      <c r="B148" s="102" t="s">
        <v>298</v>
      </c>
      <c r="C148" s="103"/>
      <c r="D148" s="102" t="s">
        <v>6</v>
      </c>
      <c r="E148" s="103"/>
      <c r="F148" s="104">
        <v>80</v>
      </c>
      <c r="G148" s="105"/>
      <c r="H148" s="13">
        <v>300</v>
      </c>
      <c r="I148" s="7" t="s">
        <v>299</v>
      </c>
      <c r="J148" s="7" t="s">
        <v>6</v>
      </c>
      <c r="K148" s="9">
        <v>90</v>
      </c>
    </row>
    <row r="149" spans="1:11" ht="16.5" customHeight="1" x14ac:dyDescent="0.2">
      <c r="A149" s="6">
        <v>249</v>
      </c>
      <c r="B149" s="102" t="s">
        <v>300</v>
      </c>
      <c r="C149" s="103"/>
      <c r="D149" s="102" t="s">
        <v>6</v>
      </c>
      <c r="E149" s="103"/>
      <c r="F149" s="104">
        <v>94</v>
      </c>
      <c r="G149" s="105"/>
      <c r="H149" s="11">
        <v>301</v>
      </c>
      <c r="I149" s="7" t="s">
        <v>301</v>
      </c>
      <c r="J149" s="7" t="s">
        <v>3</v>
      </c>
      <c r="K149" s="9">
        <v>18</v>
      </c>
    </row>
    <row r="150" spans="1:11" ht="16.5" customHeight="1" x14ac:dyDescent="0.2">
      <c r="A150" s="12">
        <v>250</v>
      </c>
      <c r="B150" s="102" t="s">
        <v>302</v>
      </c>
      <c r="C150" s="103"/>
      <c r="D150" s="102" t="s">
        <v>3</v>
      </c>
      <c r="E150" s="103"/>
      <c r="F150" s="104">
        <v>178</v>
      </c>
      <c r="G150" s="105"/>
      <c r="H150" s="13">
        <v>302</v>
      </c>
      <c r="I150" s="7" t="s">
        <v>303</v>
      </c>
      <c r="J150" s="7" t="s">
        <v>3</v>
      </c>
      <c r="K150" s="9">
        <v>14</v>
      </c>
    </row>
    <row r="151" spans="1:11" ht="16.5" customHeight="1" x14ac:dyDescent="0.2">
      <c r="A151" s="6">
        <v>251</v>
      </c>
      <c r="B151" s="102" t="s">
        <v>304</v>
      </c>
      <c r="C151" s="103"/>
      <c r="D151" s="102" t="s">
        <v>6</v>
      </c>
      <c r="E151" s="103"/>
      <c r="F151" s="104">
        <v>130</v>
      </c>
      <c r="G151" s="105"/>
      <c r="H151" s="11">
        <v>303</v>
      </c>
      <c r="I151" s="7" t="s">
        <v>305</v>
      </c>
      <c r="J151" s="7" t="s">
        <v>3</v>
      </c>
      <c r="K151" s="9">
        <v>5</v>
      </c>
    </row>
    <row r="152" spans="1:11" ht="16.5" customHeight="1" x14ac:dyDescent="0.2">
      <c r="A152" s="12">
        <v>252</v>
      </c>
      <c r="B152" s="102" t="s">
        <v>306</v>
      </c>
      <c r="C152" s="103"/>
      <c r="D152" s="102" t="s">
        <v>6</v>
      </c>
      <c r="E152" s="103"/>
      <c r="F152" s="104">
        <v>61</v>
      </c>
      <c r="G152" s="105"/>
      <c r="H152" s="13">
        <v>304</v>
      </c>
      <c r="I152" s="7" t="s">
        <v>307</v>
      </c>
      <c r="J152" s="7" t="s">
        <v>227</v>
      </c>
      <c r="K152" s="9">
        <v>23</v>
      </c>
    </row>
    <row r="153" spans="1:11" ht="16.5" customHeight="1" x14ac:dyDescent="0.2">
      <c r="A153" s="6">
        <v>253</v>
      </c>
      <c r="B153" s="102" t="s">
        <v>308</v>
      </c>
      <c r="C153" s="103"/>
      <c r="D153" s="102" t="s">
        <v>6</v>
      </c>
      <c r="E153" s="103"/>
      <c r="F153" s="104">
        <v>54</v>
      </c>
      <c r="G153" s="105"/>
      <c r="H153" s="11">
        <v>305</v>
      </c>
      <c r="I153" s="7" t="s">
        <v>309</v>
      </c>
      <c r="J153" s="7" t="s">
        <v>37</v>
      </c>
      <c r="K153" s="9">
        <v>30</v>
      </c>
    </row>
    <row r="154" spans="1:11" ht="16.5" customHeight="1" x14ac:dyDescent="0.2">
      <c r="A154" s="12">
        <v>254</v>
      </c>
      <c r="B154" s="102" t="s">
        <v>310</v>
      </c>
      <c r="C154" s="103"/>
      <c r="D154" s="102" t="s">
        <v>3</v>
      </c>
      <c r="E154" s="103"/>
      <c r="F154" s="104">
        <v>262</v>
      </c>
      <c r="G154" s="105"/>
      <c r="H154" s="13">
        <v>306</v>
      </c>
      <c r="I154" s="7" t="s">
        <v>311</v>
      </c>
      <c r="J154" s="7" t="s">
        <v>3</v>
      </c>
      <c r="K154" s="9">
        <v>25</v>
      </c>
    </row>
    <row r="155" spans="1:11" ht="16.5" customHeight="1" x14ac:dyDescent="0.2">
      <c r="A155" s="6">
        <v>255</v>
      </c>
      <c r="B155" s="102" t="s">
        <v>312</v>
      </c>
      <c r="C155" s="103"/>
      <c r="D155" s="102" t="s">
        <v>3</v>
      </c>
      <c r="E155" s="103"/>
      <c r="F155" s="104">
        <v>106</v>
      </c>
      <c r="G155" s="105"/>
      <c r="H155" s="11">
        <v>307</v>
      </c>
      <c r="I155" s="7" t="s">
        <v>313</v>
      </c>
      <c r="J155" s="7" t="s">
        <v>3</v>
      </c>
      <c r="K155" s="9">
        <v>45</v>
      </c>
    </row>
    <row r="156" spans="1:11" ht="16.5" customHeight="1" x14ac:dyDescent="0.2">
      <c r="A156" s="12">
        <v>256</v>
      </c>
      <c r="B156" s="102" t="s">
        <v>314</v>
      </c>
      <c r="C156" s="103"/>
      <c r="D156" s="102" t="s">
        <v>6</v>
      </c>
      <c r="E156" s="103"/>
      <c r="F156" s="104">
        <v>16</v>
      </c>
      <c r="G156" s="105"/>
      <c r="H156" s="13">
        <v>308</v>
      </c>
      <c r="I156" s="7" t="s">
        <v>315</v>
      </c>
      <c r="J156" s="7" t="s">
        <v>3</v>
      </c>
      <c r="K156" s="9">
        <v>23</v>
      </c>
    </row>
    <row r="157" spans="1:11" ht="16.5" customHeight="1" x14ac:dyDescent="0.2">
      <c r="A157" s="6">
        <v>257</v>
      </c>
      <c r="B157" s="102" t="s">
        <v>316</v>
      </c>
      <c r="C157" s="103"/>
      <c r="D157" s="102" t="s">
        <v>3</v>
      </c>
      <c r="E157" s="103"/>
      <c r="F157" s="104">
        <v>38</v>
      </c>
      <c r="G157" s="105"/>
      <c r="H157" s="11">
        <v>309</v>
      </c>
      <c r="I157" s="7" t="s">
        <v>317</v>
      </c>
      <c r="J157" s="7" t="s">
        <v>3</v>
      </c>
      <c r="K157" s="9">
        <v>41</v>
      </c>
    </row>
    <row r="158" spans="1:11" ht="16.5" customHeight="1" x14ac:dyDescent="0.2">
      <c r="A158" s="12">
        <v>258</v>
      </c>
      <c r="B158" s="102" t="s">
        <v>318</v>
      </c>
      <c r="C158" s="103"/>
      <c r="D158" s="102" t="s">
        <v>3</v>
      </c>
      <c r="E158" s="103"/>
      <c r="F158" s="104">
        <v>15</v>
      </c>
      <c r="G158" s="105"/>
      <c r="H158" s="13">
        <v>310</v>
      </c>
      <c r="I158" s="7" t="s">
        <v>319</v>
      </c>
      <c r="J158" s="7" t="s">
        <v>37</v>
      </c>
      <c r="K158" s="9">
        <v>30</v>
      </c>
    </row>
    <row r="159" spans="1:11" ht="16.5" customHeight="1" x14ac:dyDescent="0.2">
      <c r="A159" s="6">
        <v>259</v>
      </c>
      <c r="B159" s="102" t="s">
        <v>320</v>
      </c>
      <c r="C159" s="103"/>
      <c r="D159" s="102" t="s">
        <v>6</v>
      </c>
      <c r="E159" s="103"/>
      <c r="F159" s="104">
        <v>40.5</v>
      </c>
      <c r="G159" s="105"/>
      <c r="H159" s="11">
        <v>311</v>
      </c>
      <c r="I159" s="7" t="s">
        <v>321</v>
      </c>
      <c r="J159" s="7" t="s">
        <v>6</v>
      </c>
      <c r="K159" s="9">
        <v>121.5</v>
      </c>
    </row>
    <row r="160" spans="1:11" ht="16.5" customHeight="1" x14ac:dyDescent="0.2">
      <c r="A160" s="14">
        <v>260</v>
      </c>
      <c r="B160" s="102" t="s">
        <v>322</v>
      </c>
      <c r="C160" s="103"/>
      <c r="D160" s="102" t="s">
        <v>323</v>
      </c>
      <c r="E160" s="103"/>
      <c r="F160" s="106">
        <v>13.5</v>
      </c>
      <c r="G160" s="107"/>
      <c r="H160" s="17">
        <v>312</v>
      </c>
      <c r="I160" s="7" t="s">
        <v>324</v>
      </c>
      <c r="J160" s="7" t="s">
        <v>111</v>
      </c>
      <c r="K160" s="15">
        <v>28</v>
      </c>
    </row>
    <row r="161" spans="1:11" ht="14.25" customHeight="1" x14ac:dyDescent="0.2">
      <c r="A161" s="1"/>
      <c r="B161" s="97" t="s">
        <v>1</v>
      </c>
      <c r="C161" s="98"/>
      <c r="D161" s="99"/>
      <c r="E161" s="100"/>
      <c r="F161" s="99"/>
      <c r="G161" s="100"/>
      <c r="H161" s="4"/>
      <c r="I161" s="2" t="s">
        <v>1</v>
      </c>
      <c r="J161" s="3"/>
      <c r="K161" s="3"/>
    </row>
    <row r="162" spans="1:11" ht="16.5" customHeight="1" x14ac:dyDescent="0.2">
      <c r="A162" s="6">
        <v>313</v>
      </c>
      <c r="B162" s="102" t="s">
        <v>325</v>
      </c>
      <c r="C162" s="103"/>
      <c r="D162" s="102" t="s">
        <v>3</v>
      </c>
      <c r="E162" s="103"/>
      <c r="F162" s="104">
        <v>28</v>
      </c>
      <c r="G162" s="105"/>
      <c r="H162" s="11">
        <v>365</v>
      </c>
      <c r="I162" s="7" t="s">
        <v>326</v>
      </c>
      <c r="J162" s="7" t="s">
        <v>3</v>
      </c>
      <c r="K162" s="9">
        <v>16.5</v>
      </c>
    </row>
    <row r="163" spans="1:11" ht="16.5" customHeight="1" x14ac:dyDescent="0.2">
      <c r="A163" s="6">
        <v>314</v>
      </c>
      <c r="B163" s="102" t="s">
        <v>327</v>
      </c>
      <c r="C163" s="103"/>
      <c r="D163" s="102" t="s">
        <v>6</v>
      </c>
      <c r="E163" s="103"/>
      <c r="F163" s="104">
        <v>22</v>
      </c>
      <c r="G163" s="105"/>
      <c r="H163" s="11">
        <v>366</v>
      </c>
      <c r="I163" s="7" t="s">
        <v>328</v>
      </c>
      <c r="J163" s="7" t="s">
        <v>3</v>
      </c>
      <c r="K163" s="9">
        <v>14.5</v>
      </c>
    </row>
    <row r="164" spans="1:11" ht="16.5" customHeight="1" x14ac:dyDescent="0.2">
      <c r="A164" s="6">
        <v>315</v>
      </c>
      <c r="B164" s="102" t="s">
        <v>329</v>
      </c>
      <c r="C164" s="103"/>
      <c r="D164" s="102" t="s">
        <v>6</v>
      </c>
      <c r="E164" s="103"/>
      <c r="F164" s="104">
        <v>31.5</v>
      </c>
      <c r="G164" s="105"/>
      <c r="H164" s="11">
        <v>367</v>
      </c>
      <c r="I164" s="7" t="s">
        <v>330</v>
      </c>
      <c r="J164" s="7" t="s">
        <v>12</v>
      </c>
      <c r="K164" s="9">
        <v>62</v>
      </c>
    </row>
    <row r="165" spans="1:11" ht="16.5" customHeight="1" x14ac:dyDescent="0.2">
      <c r="A165" s="6">
        <v>316</v>
      </c>
      <c r="B165" s="102" t="s">
        <v>331</v>
      </c>
      <c r="C165" s="103"/>
      <c r="D165" s="102" t="s">
        <v>6</v>
      </c>
      <c r="E165" s="103"/>
      <c r="F165" s="104">
        <v>44</v>
      </c>
      <c r="G165" s="105"/>
      <c r="H165" s="11">
        <v>368</v>
      </c>
      <c r="I165" s="7" t="s">
        <v>332</v>
      </c>
      <c r="J165" s="7" t="s">
        <v>3</v>
      </c>
      <c r="K165" s="9">
        <v>15</v>
      </c>
    </row>
    <row r="166" spans="1:11" ht="16.5" customHeight="1" x14ac:dyDescent="0.2">
      <c r="A166" s="6">
        <v>317</v>
      </c>
      <c r="B166" s="102" t="s">
        <v>333</v>
      </c>
      <c r="C166" s="103"/>
      <c r="D166" s="102" t="s">
        <v>6</v>
      </c>
      <c r="E166" s="103"/>
      <c r="F166" s="104">
        <v>178</v>
      </c>
      <c r="G166" s="105"/>
      <c r="H166" s="11">
        <v>369</v>
      </c>
      <c r="I166" s="7" t="s">
        <v>334</v>
      </c>
      <c r="J166" s="7" t="s">
        <v>45</v>
      </c>
      <c r="K166" s="9">
        <v>82</v>
      </c>
    </row>
    <row r="167" spans="1:11" ht="16.5" customHeight="1" x14ac:dyDescent="0.2">
      <c r="A167" s="6">
        <v>318</v>
      </c>
      <c r="B167" s="102" t="s">
        <v>335</v>
      </c>
      <c r="C167" s="103"/>
      <c r="D167" s="102" t="s">
        <v>6</v>
      </c>
      <c r="E167" s="103"/>
      <c r="F167" s="104">
        <v>140</v>
      </c>
      <c r="G167" s="105"/>
      <c r="H167" s="11">
        <v>370</v>
      </c>
      <c r="I167" s="7" t="s">
        <v>336</v>
      </c>
      <c r="J167" s="7" t="s">
        <v>12</v>
      </c>
      <c r="K167" s="9">
        <v>41</v>
      </c>
    </row>
    <row r="168" spans="1:11" ht="16.5" customHeight="1" x14ac:dyDescent="0.2">
      <c r="A168" s="6">
        <v>319</v>
      </c>
      <c r="B168" s="102" t="s">
        <v>337</v>
      </c>
      <c r="C168" s="103"/>
      <c r="D168" s="102" t="s">
        <v>37</v>
      </c>
      <c r="E168" s="103"/>
      <c r="F168" s="104">
        <v>125</v>
      </c>
      <c r="G168" s="105"/>
      <c r="H168" s="11">
        <v>371</v>
      </c>
      <c r="I168" s="7" t="s">
        <v>338</v>
      </c>
      <c r="J168" s="7" t="s">
        <v>6</v>
      </c>
      <c r="K168" s="9">
        <v>175</v>
      </c>
    </row>
    <row r="169" spans="1:11" ht="16.5" customHeight="1" x14ac:dyDescent="0.2">
      <c r="A169" s="6">
        <v>320</v>
      </c>
      <c r="B169" s="102" t="s">
        <v>339</v>
      </c>
      <c r="C169" s="103"/>
      <c r="D169" s="102" t="s">
        <v>3</v>
      </c>
      <c r="E169" s="103"/>
      <c r="F169" s="104">
        <v>14</v>
      </c>
      <c r="G169" s="105"/>
      <c r="H169" s="11">
        <v>372</v>
      </c>
      <c r="I169" s="7" t="s">
        <v>340</v>
      </c>
      <c r="J169" s="7" t="s">
        <v>6</v>
      </c>
      <c r="K169" s="9">
        <v>165</v>
      </c>
    </row>
    <row r="170" spans="1:11" ht="16.5" customHeight="1" x14ac:dyDescent="0.2">
      <c r="A170" s="6">
        <v>321</v>
      </c>
      <c r="B170" s="102" t="s">
        <v>341</v>
      </c>
      <c r="C170" s="103"/>
      <c r="D170" s="102" t="s">
        <v>6</v>
      </c>
      <c r="E170" s="103"/>
      <c r="F170" s="104">
        <v>145</v>
      </c>
      <c r="G170" s="105"/>
      <c r="H170" s="11">
        <v>373</v>
      </c>
      <c r="I170" s="7" t="s">
        <v>342</v>
      </c>
      <c r="J170" s="7" t="s">
        <v>6</v>
      </c>
      <c r="K170" s="9">
        <v>50</v>
      </c>
    </row>
    <row r="171" spans="1:11" ht="16.5" customHeight="1" x14ac:dyDescent="0.2">
      <c r="A171" s="6">
        <v>322</v>
      </c>
      <c r="B171" s="102" t="s">
        <v>343</v>
      </c>
      <c r="C171" s="103"/>
      <c r="D171" s="102" t="s">
        <v>3</v>
      </c>
      <c r="E171" s="103"/>
      <c r="F171" s="104">
        <v>30.5</v>
      </c>
      <c r="G171" s="105"/>
      <c r="H171" s="11">
        <v>374</v>
      </c>
      <c r="I171" s="7" t="s">
        <v>344</v>
      </c>
      <c r="J171" s="7" t="s">
        <v>6</v>
      </c>
      <c r="K171" s="9">
        <v>21</v>
      </c>
    </row>
    <row r="172" spans="1:11" ht="16.5" customHeight="1" x14ac:dyDescent="0.2">
      <c r="A172" s="6">
        <v>323</v>
      </c>
      <c r="B172" s="102" t="s">
        <v>345</v>
      </c>
      <c r="C172" s="103"/>
      <c r="D172" s="102" t="s">
        <v>6</v>
      </c>
      <c r="E172" s="103"/>
      <c r="F172" s="104">
        <v>40</v>
      </c>
      <c r="G172" s="105"/>
      <c r="H172" s="11">
        <v>375</v>
      </c>
      <c r="I172" s="7" t="s">
        <v>346</v>
      </c>
      <c r="J172" s="7" t="s">
        <v>6</v>
      </c>
      <c r="K172" s="9">
        <v>175</v>
      </c>
    </row>
    <row r="173" spans="1:11" ht="16.5" customHeight="1" x14ac:dyDescent="0.2">
      <c r="A173" s="6">
        <v>324</v>
      </c>
      <c r="B173" s="102" t="s">
        <v>347</v>
      </c>
      <c r="C173" s="103"/>
      <c r="D173" s="102" t="s">
        <v>6</v>
      </c>
      <c r="E173" s="103"/>
      <c r="F173" s="104">
        <v>14.6</v>
      </c>
      <c r="G173" s="105"/>
      <c r="H173" s="11">
        <v>376</v>
      </c>
      <c r="I173" s="7" t="s">
        <v>348</v>
      </c>
      <c r="J173" s="7" t="s">
        <v>6</v>
      </c>
      <c r="K173" s="9">
        <v>8.5</v>
      </c>
    </row>
    <row r="174" spans="1:11" ht="16.5" customHeight="1" x14ac:dyDescent="0.2">
      <c r="A174" s="6">
        <v>325</v>
      </c>
      <c r="B174" s="102" t="s">
        <v>349</v>
      </c>
      <c r="C174" s="103"/>
      <c r="D174" s="102" t="s">
        <v>45</v>
      </c>
      <c r="E174" s="103"/>
      <c r="F174" s="104">
        <v>260</v>
      </c>
      <c r="G174" s="105"/>
      <c r="H174" s="11">
        <v>377</v>
      </c>
      <c r="I174" s="7" t="s">
        <v>350</v>
      </c>
      <c r="J174" s="7" t="s">
        <v>3</v>
      </c>
      <c r="K174" s="9">
        <v>35</v>
      </c>
    </row>
    <row r="175" spans="1:11" ht="16.5" customHeight="1" x14ac:dyDescent="0.2">
      <c r="A175" s="12">
        <v>326</v>
      </c>
      <c r="B175" s="102" t="s">
        <v>351</v>
      </c>
      <c r="C175" s="103"/>
      <c r="D175" s="102" t="s">
        <v>6</v>
      </c>
      <c r="E175" s="103"/>
      <c r="F175" s="104">
        <v>125</v>
      </c>
      <c r="G175" s="105"/>
      <c r="H175" s="13">
        <v>378</v>
      </c>
      <c r="I175" s="7" t="s">
        <v>352</v>
      </c>
      <c r="J175" s="7" t="s">
        <v>3</v>
      </c>
      <c r="K175" s="9">
        <v>44</v>
      </c>
    </row>
    <row r="176" spans="1:11" ht="16.5" customHeight="1" x14ac:dyDescent="0.2">
      <c r="A176" s="6">
        <v>327</v>
      </c>
      <c r="B176" s="102" t="s">
        <v>353</v>
      </c>
      <c r="C176" s="103"/>
      <c r="D176" s="102" t="s">
        <v>6</v>
      </c>
      <c r="E176" s="103"/>
      <c r="F176" s="104">
        <v>340</v>
      </c>
      <c r="G176" s="105"/>
      <c r="H176" s="11">
        <v>379</v>
      </c>
      <c r="I176" s="7" t="s">
        <v>354</v>
      </c>
      <c r="J176" s="7" t="s">
        <v>3</v>
      </c>
      <c r="K176" s="9">
        <v>23.2</v>
      </c>
    </row>
    <row r="177" spans="1:11" ht="16.5" customHeight="1" x14ac:dyDescent="0.2">
      <c r="A177" s="12">
        <v>328</v>
      </c>
      <c r="B177" s="102" t="s">
        <v>355</v>
      </c>
      <c r="C177" s="103"/>
      <c r="D177" s="102" t="s">
        <v>3</v>
      </c>
      <c r="E177" s="103"/>
      <c r="F177" s="104">
        <v>55</v>
      </c>
      <c r="G177" s="105"/>
      <c r="H177" s="13">
        <v>380</v>
      </c>
      <c r="I177" s="7" t="s">
        <v>356</v>
      </c>
      <c r="J177" s="7" t="s">
        <v>3</v>
      </c>
      <c r="K177" s="9">
        <v>40</v>
      </c>
    </row>
    <row r="178" spans="1:11" ht="16.5" customHeight="1" x14ac:dyDescent="0.2">
      <c r="A178" s="6">
        <v>329</v>
      </c>
      <c r="B178" s="102" t="s">
        <v>357</v>
      </c>
      <c r="C178" s="103"/>
      <c r="D178" s="102" t="s">
        <v>101</v>
      </c>
      <c r="E178" s="103"/>
      <c r="F178" s="104">
        <v>31.6</v>
      </c>
      <c r="G178" s="105"/>
      <c r="H178" s="11">
        <v>381</v>
      </c>
      <c r="I178" s="7" t="s">
        <v>358</v>
      </c>
      <c r="J178" s="7" t="s">
        <v>3</v>
      </c>
      <c r="K178" s="9">
        <v>33.5</v>
      </c>
    </row>
    <row r="179" spans="1:11" ht="16.5" customHeight="1" x14ac:dyDescent="0.2">
      <c r="A179" s="12">
        <v>330</v>
      </c>
      <c r="B179" s="102" t="s">
        <v>359</v>
      </c>
      <c r="C179" s="103"/>
      <c r="D179" s="102" t="s">
        <v>6</v>
      </c>
      <c r="E179" s="103"/>
      <c r="F179" s="104">
        <v>230</v>
      </c>
      <c r="G179" s="105"/>
      <c r="H179" s="13">
        <v>382</v>
      </c>
      <c r="I179" s="7" t="s">
        <v>360</v>
      </c>
      <c r="J179" s="7" t="s">
        <v>3</v>
      </c>
      <c r="K179" s="9">
        <v>29.5</v>
      </c>
    </row>
    <row r="180" spans="1:11" ht="16.5" customHeight="1" x14ac:dyDescent="0.2">
      <c r="A180" s="6">
        <v>331</v>
      </c>
      <c r="B180" s="102" t="s">
        <v>361</v>
      </c>
      <c r="C180" s="103"/>
      <c r="D180" s="102" t="s">
        <v>101</v>
      </c>
      <c r="E180" s="103"/>
      <c r="F180" s="104">
        <v>26</v>
      </c>
      <c r="G180" s="105"/>
      <c r="H180" s="11">
        <v>383</v>
      </c>
      <c r="I180" s="7" t="s">
        <v>362</v>
      </c>
      <c r="J180" s="7" t="s">
        <v>3</v>
      </c>
      <c r="K180" s="9">
        <v>24.2</v>
      </c>
    </row>
    <row r="181" spans="1:11" ht="16.5" customHeight="1" x14ac:dyDescent="0.2">
      <c r="A181" s="12">
        <v>332</v>
      </c>
      <c r="B181" s="102" t="s">
        <v>363</v>
      </c>
      <c r="C181" s="103"/>
      <c r="D181" s="102" t="s">
        <v>6</v>
      </c>
      <c r="E181" s="103"/>
      <c r="F181" s="104">
        <v>304</v>
      </c>
      <c r="G181" s="105"/>
      <c r="H181" s="13">
        <v>384</v>
      </c>
      <c r="I181" s="7" t="s">
        <v>364</v>
      </c>
      <c r="J181" s="7" t="s">
        <v>6</v>
      </c>
      <c r="K181" s="9">
        <v>37</v>
      </c>
    </row>
    <row r="182" spans="1:11" ht="16.5" customHeight="1" x14ac:dyDescent="0.2">
      <c r="A182" s="6">
        <v>333</v>
      </c>
      <c r="B182" s="102" t="s">
        <v>365</v>
      </c>
      <c r="C182" s="103"/>
      <c r="D182" s="102" t="s">
        <v>6</v>
      </c>
      <c r="E182" s="103"/>
      <c r="F182" s="104">
        <v>97</v>
      </c>
      <c r="G182" s="105"/>
      <c r="H182" s="11">
        <v>385</v>
      </c>
      <c r="I182" s="7" t="s">
        <v>366</v>
      </c>
      <c r="J182" s="7" t="s">
        <v>3</v>
      </c>
      <c r="K182" s="9">
        <v>167</v>
      </c>
    </row>
    <row r="183" spans="1:11" ht="16.5" customHeight="1" x14ac:dyDescent="0.2">
      <c r="A183" s="12">
        <v>334</v>
      </c>
      <c r="B183" s="102" t="s">
        <v>367</v>
      </c>
      <c r="C183" s="103"/>
      <c r="D183" s="102" t="s">
        <v>6</v>
      </c>
      <c r="E183" s="103"/>
      <c r="F183" s="104">
        <v>147</v>
      </c>
      <c r="G183" s="105"/>
      <c r="H183" s="13">
        <v>386</v>
      </c>
      <c r="I183" s="7" t="s">
        <v>368</v>
      </c>
      <c r="J183" s="7" t="s">
        <v>3</v>
      </c>
      <c r="K183" s="9">
        <v>20</v>
      </c>
    </row>
    <row r="184" spans="1:11" ht="16.5" customHeight="1" x14ac:dyDescent="0.2">
      <c r="A184" s="6">
        <v>335</v>
      </c>
      <c r="B184" s="102" t="s">
        <v>369</v>
      </c>
      <c r="C184" s="103"/>
      <c r="D184" s="102" t="s">
        <v>6</v>
      </c>
      <c r="E184" s="103"/>
      <c r="F184" s="104">
        <v>109</v>
      </c>
      <c r="G184" s="105"/>
      <c r="H184" s="11">
        <v>387</v>
      </c>
      <c r="I184" s="7" t="s">
        <v>370</v>
      </c>
      <c r="J184" s="7" t="s">
        <v>6</v>
      </c>
      <c r="K184" s="9">
        <v>94</v>
      </c>
    </row>
    <row r="185" spans="1:11" ht="16.5" customHeight="1" x14ac:dyDescent="0.2">
      <c r="A185" s="12">
        <v>336</v>
      </c>
      <c r="B185" s="102" t="s">
        <v>371</v>
      </c>
      <c r="C185" s="103"/>
      <c r="D185" s="102" t="s">
        <v>3</v>
      </c>
      <c r="E185" s="103"/>
      <c r="F185" s="104">
        <v>25</v>
      </c>
      <c r="G185" s="105"/>
      <c r="H185" s="13">
        <v>388</v>
      </c>
      <c r="I185" s="7" t="s">
        <v>372</v>
      </c>
      <c r="J185" s="7" t="s">
        <v>6</v>
      </c>
      <c r="K185" s="9">
        <v>117</v>
      </c>
    </row>
    <row r="186" spans="1:11" ht="16.5" customHeight="1" x14ac:dyDescent="0.2">
      <c r="A186" s="6">
        <v>337</v>
      </c>
      <c r="B186" s="102" t="s">
        <v>373</v>
      </c>
      <c r="C186" s="103"/>
      <c r="D186" s="102" t="s">
        <v>3</v>
      </c>
      <c r="E186" s="103"/>
      <c r="F186" s="104">
        <v>31</v>
      </c>
      <c r="G186" s="105"/>
      <c r="H186" s="11">
        <v>389</v>
      </c>
      <c r="I186" s="7" t="s">
        <v>374</v>
      </c>
      <c r="J186" s="7" t="s">
        <v>6</v>
      </c>
      <c r="K186" s="9">
        <v>27</v>
      </c>
    </row>
    <row r="187" spans="1:11" ht="16.5" customHeight="1" x14ac:dyDescent="0.2">
      <c r="A187" s="12">
        <v>338</v>
      </c>
      <c r="B187" s="102" t="s">
        <v>375</v>
      </c>
      <c r="C187" s="103"/>
      <c r="D187" s="102" t="s">
        <v>3</v>
      </c>
      <c r="E187" s="103"/>
      <c r="F187" s="104">
        <v>25</v>
      </c>
      <c r="G187" s="105"/>
      <c r="H187" s="13">
        <v>390</v>
      </c>
      <c r="I187" s="7" t="s">
        <v>376</v>
      </c>
      <c r="J187" s="7" t="s">
        <v>12</v>
      </c>
      <c r="K187" s="9">
        <v>15.5</v>
      </c>
    </row>
    <row r="188" spans="1:11" ht="16.5" customHeight="1" x14ac:dyDescent="0.2">
      <c r="A188" s="6">
        <v>339</v>
      </c>
      <c r="B188" s="102" t="s">
        <v>377</v>
      </c>
      <c r="C188" s="103"/>
      <c r="D188" s="102" t="s">
        <v>6</v>
      </c>
      <c r="E188" s="103"/>
      <c r="F188" s="104">
        <v>44</v>
      </c>
      <c r="G188" s="105"/>
      <c r="H188" s="11">
        <v>391</v>
      </c>
      <c r="I188" s="7" t="s">
        <v>378</v>
      </c>
      <c r="J188" s="7" t="s">
        <v>6</v>
      </c>
      <c r="K188" s="9">
        <v>4.7</v>
      </c>
    </row>
    <row r="189" spans="1:11" ht="16.5" customHeight="1" x14ac:dyDescent="0.2">
      <c r="A189" s="12">
        <v>340</v>
      </c>
      <c r="B189" s="102" t="s">
        <v>379</v>
      </c>
      <c r="C189" s="103"/>
      <c r="D189" s="102" t="s">
        <v>3</v>
      </c>
      <c r="E189" s="103"/>
      <c r="F189" s="104">
        <v>69</v>
      </c>
      <c r="G189" s="105"/>
      <c r="H189" s="13">
        <v>392</v>
      </c>
      <c r="I189" s="7" t="s">
        <v>380</v>
      </c>
      <c r="J189" s="7" t="s">
        <v>6</v>
      </c>
      <c r="K189" s="9">
        <v>25</v>
      </c>
    </row>
    <row r="190" spans="1:11" ht="16.5" customHeight="1" x14ac:dyDescent="0.2">
      <c r="A190" s="6">
        <v>341</v>
      </c>
      <c r="B190" s="102" t="s">
        <v>381</v>
      </c>
      <c r="C190" s="103"/>
      <c r="D190" s="102" t="s">
        <v>3</v>
      </c>
      <c r="E190" s="103"/>
      <c r="F190" s="104">
        <v>58</v>
      </c>
      <c r="G190" s="105"/>
      <c r="H190" s="11">
        <v>393</v>
      </c>
      <c r="I190" s="7" t="s">
        <v>382</v>
      </c>
      <c r="J190" s="7" t="s">
        <v>3</v>
      </c>
      <c r="K190" s="9">
        <v>15.5</v>
      </c>
    </row>
    <row r="191" spans="1:11" ht="16.5" customHeight="1" x14ac:dyDescent="0.2">
      <c r="A191" s="12">
        <v>342</v>
      </c>
      <c r="B191" s="102" t="s">
        <v>383</v>
      </c>
      <c r="C191" s="103"/>
      <c r="D191" s="102" t="s">
        <v>6</v>
      </c>
      <c r="E191" s="103"/>
      <c r="F191" s="104">
        <v>56</v>
      </c>
      <c r="G191" s="105"/>
      <c r="H191" s="13">
        <v>394</v>
      </c>
      <c r="I191" s="7" t="s">
        <v>384</v>
      </c>
      <c r="J191" s="7" t="s">
        <v>3</v>
      </c>
      <c r="K191" s="9">
        <v>17.5</v>
      </c>
    </row>
    <row r="192" spans="1:11" ht="16.5" customHeight="1" x14ac:dyDescent="0.2">
      <c r="A192" s="6">
        <v>343</v>
      </c>
      <c r="B192" s="102" t="s">
        <v>385</v>
      </c>
      <c r="C192" s="103"/>
      <c r="D192" s="102" t="s">
        <v>6</v>
      </c>
      <c r="E192" s="103"/>
      <c r="F192" s="104">
        <v>40</v>
      </c>
      <c r="G192" s="105"/>
      <c r="H192" s="11">
        <v>395</v>
      </c>
      <c r="I192" s="7" t="s">
        <v>386</v>
      </c>
      <c r="J192" s="7" t="s">
        <v>6</v>
      </c>
      <c r="K192" s="9">
        <v>22.2</v>
      </c>
    </row>
    <row r="193" spans="1:11" ht="16.5" customHeight="1" x14ac:dyDescent="0.2">
      <c r="A193" s="12">
        <v>344</v>
      </c>
      <c r="B193" s="102" t="s">
        <v>387</v>
      </c>
      <c r="C193" s="103"/>
      <c r="D193" s="102" t="s">
        <v>6</v>
      </c>
      <c r="E193" s="103"/>
      <c r="F193" s="104">
        <v>110</v>
      </c>
      <c r="G193" s="105"/>
      <c r="H193" s="13">
        <v>396</v>
      </c>
      <c r="I193" s="7" t="s">
        <v>388</v>
      </c>
      <c r="J193" s="7" t="s">
        <v>3</v>
      </c>
      <c r="K193" s="9">
        <v>20</v>
      </c>
    </row>
    <row r="194" spans="1:11" ht="16.5" customHeight="1" x14ac:dyDescent="0.2">
      <c r="A194" s="6">
        <v>345</v>
      </c>
      <c r="B194" s="102" t="s">
        <v>389</v>
      </c>
      <c r="C194" s="103"/>
      <c r="D194" s="102" t="s">
        <v>6</v>
      </c>
      <c r="E194" s="103"/>
      <c r="F194" s="104">
        <v>36</v>
      </c>
      <c r="G194" s="105"/>
      <c r="H194" s="11">
        <v>397</v>
      </c>
      <c r="I194" s="7" t="s">
        <v>390</v>
      </c>
      <c r="J194" s="7" t="s">
        <v>6</v>
      </c>
      <c r="K194" s="9">
        <v>17.5</v>
      </c>
    </row>
    <row r="195" spans="1:11" ht="16.5" customHeight="1" x14ac:dyDescent="0.2">
      <c r="A195" s="12">
        <v>346</v>
      </c>
      <c r="B195" s="102" t="s">
        <v>391</v>
      </c>
      <c r="C195" s="103"/>
      <c r="D195" s="102" t="s">
        <v>6</v>
      </c>
      <c r="E195" s="103"/>
      <c r="F195" s="104">
        <v>82</v>
      </c>
      <c r="G195" s="105"/>
      <c r="H195" s="13">
        <v>398</v>
      </c>
      <c r="I195" s="7" t="s">
        <v>392</v>
      </c>
      <c r="J195" s="7" t="s">
        <v>6</v>
      </c>
      <c r="K195" s="9">
        <v>25</v>
      </c>
    </row>
    <row r="196" spans="1:11" ht="16.5" customHeight="1" x14ac:dyDescent="0.2">
      <c r="A196" s="6">
        <v>347</v>
      </c>
      <c r="B196" s="102" t="s">
        <v>393</v>
      </c>
      <c r="C196" s="103"/>
      <c r="D196" s="102" t="s">
        <v>37</v>
      </c>
      <c r="E196" s="103"/>
      <c r="F196" s="104">
        <v>32</v>
      </c>
      <c r="G196" s="105"/>
      <c r="H196" s="11">
        <v>399</v>
      </c>
      <c r="I196" s="7" t="s">
        <v>394</v>
      </c>
      <c r="J196" s="7" t="s">
        <v>6</v>
      </c>
      <c r="K196" s="9">
        <v>36</v>
      </c>
    </row>
    <row r="197" spans="1:11" ht="16.5" customHeight="1" x14ac:dyDescent="0.2">
      <c r="A197" s="12">
        <v>348</v>
      </c>
      <c r="B197" s="102" t="s">
        <v>395</v>
      </c>
      <c r="C197" s="103"/>
      <c r="D197" s="102" t="s">
        <v>6</v>
      </c>
      <c r="E197" s="103"/>
      <c r="F197" s="104">
        <v>36</v>
      </c>
      <c r="G197" s="105"/>
      <c r="H197" s="13">
        <v>400</v>
      </c>
      <c r="I197" s="7" t="s">
        <v>396</v>
      </c>
      <c r="J197" s="7" t="s">
        <v>3</v>
      </c>
      <c r="K197" s="9">
        <v>45</v>
      </c>
    </row>
    <row r="198" spans="1:11" ht="16.5" customHeight="1" x14ac:dyDescent="0.2">
      <c r="A198" s="6">
        <v>349</v>
      </c>
      <c r="B198" s="102" t="s">
        <v>397</v>
      </c>
      <c r="C198" s="103"/>
      <c r="D198" s="102" t="s">
        <v>6</v>
      </c>
      <c r="E198" s="103"/>
      <c r="F198" s="104">
        <v>18</v>
      </c>
      <c r="G198" s="105"/>
      <c r="H198" s="11">
        <v>401</v>
      </c>
      <c r="I198" s="7" t="s">
        <v>398</v>
      </c>
      <c r="J198" s="7" t="s">
        <v>6</v>
      </c>
      <c r="K198" s="9">
        <v>35</v>
      </c>
    </row>
    <row r="199" spans="1:11" ht="16.5" customHeight="1" x14ac:dyDescent="0.2">
      <c r="A199" s="12">
        <v>350</v>
      </c>
      <c r="B199" s="102" t="s">
        <v>399</v>
      </c>
      <c r="C199" s="103"/>
      <c r="D199" s="102" t="s">
        <v>6</v>
      </c>
      <c r="E199" s="103"/>
      <c r="F199" s="104">
        <v>17</v>
      </c>
      <c r="G199" s="105"/>
      <c r="H199" s="13">
        <v>402</v>
      </c>
      <c r="I199" s="7" t="s">
        <v>400</v>
      </c>
      <c r="J199" s="7" t="s">
        <v>6</v>
      </c>
      <c r="K199" s="9">
        <v>200</v>
      </c>
    </row>
    <row r="200" spans="1:11" ht="16.5" customHeight="1" x14ac:dyDescent="0.2">
      <c r="A200" s="6">
        <v>351</v>
      </c>
      <c r="B200" s="102" t="s">
        <v>401</v>
      </c>
      <c r="C200" s="103"/>
      <c r="D200" s="102" t="s">
        <v>6</v>
      </c>
      <c r="E200" s="103"/>
      <c r="F200" s="104">
        <v>10.5</v>
      </c>
      <c r="G200" s="105"/>
      <c r="H200" s="11">
        <v>403</v>
      </c>
      <c r="I200" s="7" t="s">
        <v>402</v>
      </c>
      <c r="J200" s="7" t="s">
        <v>12</v>
      </c>
      <c r="K200" s="9">
        <v>17.5</v>
      </c>
    </row>
    <row r="201" spans="1:11" ht="16.5" customHeight="1" x14ac:dyDescent="0.2">
      <c r="A201" s="12">
        <v>352</v>
      </c>
      <c r="B201" s="102" t="s">
        <v>403</v>
      </c>
      <c r="C201" s="103"/>
      <c r="D201" s="102" t="s">
        <v>6</v>
      </c>
      <c r="E201" s="103"/>
      <c r="F201" s="104">
        <v>8.5</v>
      </c>
      <c r="G201" s="105"/>
      <c r="H201" s="13">
        <v>404</v>
      </c>
      <c r="I201" s="7" t="s">
        <v>404</v>
      </c>
      <c r="J201" s="7" t="s">
        <v>6</v>
      </c>
      <c r="K201" s="9">
        <v>44</v>
      </c>
    </row>
    <row r="202" spans="1:11" ht="16.5" customHeight="1" x14ac:dyDescent="0.2">
      <c r="A202" s="6">
        <v>353</v>
      </c>
      <c r="B202" s="102" t="s">
        <v>405</v>
      </c>
      <c r="C202" s="103"/>
      <c r="D202" s="102" t="s">
        <v>6</v>
      </c>
      <c r="E202" s="103"/>
      <c r="F202" s="104">
        <v>30</v>
      </c>
      <c r="G202" s="105"/>
      <c r="H202" s="11">
        <v>405</v>
      </c>
      <c r="I202" s="7" t="s">
        <v>406</v>
      </c>
      <c r="J202" s="7" t="s">
        <v>6</v>
      </c>
      <c r="K202" s="9">
        <v>15.5</v>
      </c>
    </row>
    <row r="203" spans="1:11" ht="16.5" customHeight="1" x14ac:dyDescent="0.2">
      <c r="A203" s="12">
        <v>354</v>
      </c>
      <c r="B203" s="102" t="s">
        <v>407</v>
      </c>
      <c r="C203" s="103"/>
      <c r="D203" s="102" t="s">
        <v>37</v>
      </c>
      <c r="E203" s="103"/>
      <c r="F203" s="104">
        <v>190</v>
      </c>
      <c r="G203" s="105"/>
      <c r="H203" s="13">
        <v>406</v>
      </c>
      <c r="I203" s="7" t="s">
        <v>408</v>
      </c>
      <c r="J203" s="7" t="s">
        <v>6</v>
      </c>
      <c r="K203" s="9">
        <v>21</v>
      </c>
    </row>
    <row r="204" spans="1:11" ht="16.5" customHeight="1" x14ac:dyDescent="0.2">
      <c r="A204" s="6">
        <v>355</v>
      </c>
      <c r="B204" s="102" t="s">
        <v>409</v>
      </c>
      <c r="C204" s="103"/>
      <c r="D204" s="102" t="s">
        <v>3</v>
      </c>
      <c r="E204" s="103"/>
      <c r="F204" s="104">
        <v>34.5</v>
      </c>
      <c r="G204" s="105"/>
      <c r="H204" s="11">
        <v>407</v>
      </c>
      <c r="I204" s="7" t="s">
        <v>410</v>
      </c>
      <c r="J204" s="7" t="s">
        <v>6</v>
      </c>
      <c r="K204" s="9">
        <v>21</v>
      </c>
    </row>
    <row r="205" spans="1:11" ht="16.5" customHeight="1" x14ac:dyDescent="0.2">
      <c r="A205" s="12">
        <v>356</v>
      </c>
      <c r="B205" s="102" t="s">
        <v>411</v>
      </c>
      <c r="C205" s="103"/>
      <c r="D205" s="102" t="s">
        <v>6</v>
      </c>
      <c r="E205" s="103"/>
      <c r="F205" s="104">
        <v>198.6</v>
      </c>
      <c r="G205" s="105"/>
      <c r="H205" s="13">
        <v>408</v>
      </c>
      <c r="I205" s="7" t="s">
        <v>412</v>
      </c>
      <c r="J205" s="7" t="s">
        <v>3</v>
      </c>
      <c r="K205" s="9">
        <v>88</v>
      </c>
    </row>
    <row r="206" spans="1:11" ht="16.5" customHeight="1" x14ac:dyDescent="0.2">
      <c r="A206" s="6">
        <v>357</v>
      </c>
      <c r="B206" s="102" t="s">
        <v>413</v>
      </c>
      <c r="C206" s="103"/>
      <c r="D206" s="102" t="s">
        <v>6</v>
      </c>
      <c r="E206" s="103"/>
      <c r="F206" s="104">
        <v>189</v>
      </c>
      <c r="G206" s="105"/>
      <c r="H206" s="11">
        <v>409</v>
      </c>
      <c r="I206" s="7" t="s">
        <v>414</v>
      </c>
      <c r="J206" s="7" t="s">
        <v>6</v>
      </c>
      <c r="K206" s="9">
        <v>9</v>
      </c>
    </row>
    <row r="207" spans="1:11" ht="16.5" customHeight="1" x14ac:dyDescent="0.2">
      <c r="A207" s="12">
        <v>358</v>
      </c>
      <c r="B207" s="102" t="s">
        <v>415</v>
      </c>
      <c r="C207" s="103"/>
      <c r="D207" s="102" t="s">
        <v>6</v>
      </c>
      <c r="E207" s="103"/>
      <c r="F207" s="104">
        <v>69</v>
      </c>
      <c r="G207" s="105"/>
      <c r="H207" s="13">
        <v>410</v>
      </c>
      <c r="I207" s="7" t="s">
        <v>416</v>
      </c>
      <c r="J207" s="7" t="s">
        <v>6</v>
      </c>
      <c r="K207" s="9">
        <v>92</v>
      </c>
    </row>
    <row r="208" spans="1:11" ht="16.5" customHeight="1" x14ac:dyDescent="0.2">
      <c r="A208" s="6">
        <v>359</v>
      </c>
      <c r="B208" s="102" t="s">
        <v>417</v>
      </c>
      <c r="C208" s="103"/>
      <c r="D208" s="102" t="s">
        <v>37</v>
      </c>
      <c r="E208" s="103"/>
      <c r="F208" s="104">
        <v>270</v>
      </c>
      <c r="G208" s="105"/>
      <c r="H208" s="11">
        <v>411</v>
      </c>
      <c r="I208" s="7" t="s">
        <v>418</v>
      </c>
      <c r="J208" s="7" t="s">
        <v>3</v>
      </c>
      <c r="K208" s="9">
        <v>30</v>
      </c>
    </row>
    <row r="209" spans="1:11" ht="16.5" customHeight="1" x14ac:dyDescent="0.2">
      <c r="A209" s="12">
        <v>360</v>
      </c>
      <c r="B209" s="102" t="s">
        <v>419</v>
      </c>
      <c r="C209" s="103"/>
      <c r="D209" s="102" t="s">
        <v>3</v>
      </c>
      <c r="E209" s="103"/>
      <c r="F209" s="104">
        <v>36</v>
      </c>
      <c r="G209" s="105"/>
      <c r="H209" s="13">
        <v>412</v>
      </c>
      <c r="I209" s="7" t="s">
        <v>420</v>
      </c>
      <c r="J209" s="7" t="s">
        <v>6</v>
      </c>
      <c r="K209" s="9">
        <v>29</v>
      </c>
    </row>
    <row r="210" spans="1:11" ht="16.5" customHeight="1" x14ac:dyDescent="0.2">
      <c r="A210" s="6">
        <v>361</v>
      </c>
      <c r="B210" s="102" t="s">
        <v>421</v>
      </c>
      <c r="C210" s="103"/>
      <c r="D210" s="102" t="s">
        <v>3</v>
      </c>
      <c r="E210" s="103"/>
      <c r="F210" s="104">
        <v>78</v>
      </c>
      <c r="G210" s="105"/>
      <c r="H210" s="11">
        <v>413</v>
      </c>
      <c r="I210" s="7" t="s">
        <v>422</v>
      </c>
      <c r="J210" s="7" t="s">
        <v>6</v>
      </c>
      <c r="K210" s="9">
        <v>85</v>
      </c>
    </row>
    <row r="211" spans="1:11" ht="16.5" customHeight="1" x14ac:dyDescent="0.2">
      <c r="A211" s="12">
        <v>362</v>
      </c>
      <c r="B211" s="102" t="s">
        <v>423</v>
      </c>
      <c r="C211" s="103"/>
      <c r="D211" s="102" t="s">
        <v>45</v>
      </c>
      <c r="E211" s="103"/>
      <c r="F211" s="104">
        <v>19</v>
      </c>
      <c r="G211" s="105"/>
      <c r="H211" s="13">
        <v>414</v>
      </c>
      <c r="I211" s="7" t="s">
        <v>424</v>
      </c>
      <c r="J211" s="7" t="s">
        <v>3</v>
      </c>
      <c r="K211" s="9">
        <v>32</v>
      </c>
    </row>
    <row r="212" spans="1:11" ht="16.5" customHeight="1" x14ac:dyDescent="0.2">
      <c r="A212" s="6">
        <v>363</v>
      </c>
      <c r="B212" s="102" t="s">
        <v>425</v>
      </c>
      <c r="C212" s="103"/>
      <c r="D212" s="102" t="s">
        <v>6</v>
      </c>
      <c r="E212" s="103"/>
      <c r="F212" s="104">
        <v>107</v>
      </c>
      <c r="G212" s="105"/>
      <c r="H212" s="11">
        <v>415</v>
      </c>
      <c r="I212" s="7" t="s">
        <v>426</v>
      </c>
      <c r="J212" s="7" t="s">
        <v>6</v>
      </c>
      <c r="K212" s="9">
        <v>32</v>
      </c>
    </row>
    <row r="213" spans="1:11" ht="16.5" customHeight="1" x14ac:dyDescent="0.2">
      <c r="A213" s="14">
        <v>364</v>
      </c>
      <c r="B213" s="102" t="s">
        <v>427</v>
      </c>
      <c r="C213" s="103"/>
      <c r="D213" s="102" t="s">
        <v>323</v>
      </c>
      <c r="E213" s="103"/>
      <c r="F213" s="106">
        <v>78</v>
      </c>
      <c r="G213" s="107"/>
      <c r="H213" s="17">
        <v>416</v>
      </c>
      <c r="I213" s="7" t="s">
        <v>428</v>
      </c>
      <c r="J213" s="7" t="s">
        <v>323</v>
      </c>
      <c r="K213" s="15">
        <v>45</v>
      </c>
    </row>
    <row r="214" spans="1:11" ht="14.25" customHeight="1" x14ac:dyDescent="0.2">
      <c r="A214" s="1"/>
      <c r="B214" s="97" t="s">
        <v>1</v>
      </c>
      <c r="C214" s="98"/>
      <c r="D214" s="99"/>
      <c r="E214" s="100"/>
      <c r="F214" s="99"/>
      <c r="G214" s="100"/>
      <c r="H214" s="4"/>
      <c r="I214" s="2" t="s">
        <v>1</v>
      </c>
      <c r="J214" s="3"/>
      <c r="K214" s="3"/>
    </row>
    <row r="215" spans="1:11" ht="16.5" customHeight="1" x14ac:dyDescent="0.2">
      <c r="A215" s="6">
        <v>417</v>
      </c>
      <c r="B215" s="102" t="s">
        <v>429</v>
      </c>
      <c r="C215" s="103"/>
      <c r="D215" s="102" t="s">
        <v>6</v>
      </c>
      <c r="E215" s="103"/>
      <c r="F215" s="104">
        <v>24.5</v>
      </c>
      <c r="G215" s="105"/>
      <c r="H215" s="11">
        <v>469</v>
      </c>
      <c r="I215" s="7" t="s">
        <v>430</v>
      </c>
      <c r="J215" s="7" t="s">
        <v>6</v>
      </c>
      <c r="K215" s="9">
        <v>29.5</v>
      </c>
    </row>
    <row r="216" spans="1:11" ht="16.5" customHeight="1" x14ac:dyDescent="0.2">
      <c r="A216" s="6">
        <v>418</v>
      </c>
      <c r="B216" s="102" t="s">
        <v>431</v>
      </c>
      <c r="C216" s="103"/>
      <c r="D216" s="102" t="s">
        <v>6</v>
      </c>
      <c r="E216" s="103"/>
      <c r="F216" s="104">
        <v>53</v>
      </c>
      <c r="G216" s="105"/>
      <c r="H216" s="11">
        <v>470</v>
      </c>
      <c r="I216" s="7" t="s">
        <v>432</v>
      </c>
      <c r="J216" s="7" t="s">
        <v>3</v>
      </c>
      <c r="K216" s="9">
        <v>13</v>
      </c>
    </row>
    <row r="217" spans="1:11" ht="16.5" customHeight="1" x14ac:dyDescent="0.2">
      <c r="A217" s="6">
        <v>419</v>
      </c>
      <c r="B217" s="102" t="s">
        <v>433</v>
      </c>
      <c r="C217" s="103"/>
      <c r="D217" s="102" t="s">
        <v>6</v>
      </c>
      <c r="E217" s="103"/>
      <c r="F217" s="104">
        <v>32</v>
      </c>
      <c r="G217" s="105"/>
      <c r="H217" s="11">
        <v>471</v>
      </c>
      <c r="I217" s="7" t="s">
        <v>434</v>
      </c>
      <c r="J217" s="7" t="s">
        <v>6</v>
      </c>
      <c r="K217" s="9">
        <v>39</v>
      </c>
    </row>
    <row r="218" spans="1:11" ht="16.5" customHeight="1" x14ac:dyDescent="0.2">
      <c r="A218" s="6">
        <v>420</v>
      </c>
      <c r="B218" s="102" t="s">
        <v>435</v>
      </c>
      <c r="C218" s="103"/>
      <c r="D218" s="102" t="s">
        <v>6</v>
      </c>
      <c r="E218" s="103"/>
      <c r="F218" s="104">
        <v>37</v>
      </c>
      <c r="G218" s="105"/>
      <c r="H218" s="11">
        <v>472</v>
      </c>
      <c r="I218" s="7" t="s">
        <v>436</v>
      </c>
      <c r="J218" s="7" t="s">
        <v>6</v>
      </c>
      <c r="K218" s="9">
        <v>67</v>
      </c>
    </row>
    <row r="219" spans="1:11" ht="16.5" customHeight="1" x14ac:dyDescent="0.2">
      <c r="A219" s="6">
        <v>421</v>
      </c>
      <c r="B219" s="102" t="s">
        <v>437</v>
      </c>
      <c r="C219" s="103"/>
      <c r="D219" s="102" t="s">
        <v>6</v>
      </c>
      <c r="E219" s="103"/>
      <c r="F219" s="104">
        <v>32</v>
      </c>
      <c r="G219" s="105"/>
      <c r="H219" s="11">
        <v>473</v>
      </c>
      <c r="I219" s="7" t="s">
        <v>438</v>
      </c>
      <c r="J219" s="7" t="s">
        <v>6</v>
      </c>
      <c r="K219" s="9">
        <v>90</v>
      </c>
    </row>
    <row r="220" spans="1:11" ht="16.5" customHeight="1" x14ac:dyDescent="0.2">
      <c r="A220" s="6">
        <v>422</v>
      </c>
      <c r="B220" s="102" t="s">
        <v>439</v>
      </c>
      <c r="C220" s="103"/>
      <c r="D220" s="102" t="s">
        <v>6</v>
      </c>
      <c r="E220" s="103"/>
      <c r="F220" s="104">
        <v>57</v>
      </c>
      <c r="G220" s="105"/>
      <c r="H220" s="11">
        <v>474</v>
      </c>
      <c r="I220" s="7" t="s">
        <v>440</v>
      </c>
      <c r="J220" s="7" t="s">
        <v>6</v>
      </c>
      <c r="K220" s="9">
        <v>170</v>
      </c>
    </row>
    <row r="221" spans="1:11" ht="16.5" customHeight="1" x14ac:dyDescent="0.2">
      <c r="A221" s="6">
        <v>423</v>
      </c>
      <c r="B221" s="102" t="s">
        <v>441</v>
      </c>
      <c r="C221" s="103"/>
      <c r="D221" s="102" t="s">
        <v>6</v>
      </c>
      <c r="E221" s="103"/>
      <c r="F221" s="104">
        <v>41</v>
      </c>
      <c r="G221" s="105"/>
      <c r="H221" s="11">
        <v>475</v>
      </c>
      <c r="I221" s="7" t="s">
        <v>442</v>
      </c>
      <c r="J221" s="7" t="s">
        <v>3</v>
      </c>
      <c r="K221" s="9">
        <v>14</v>
      </c>
    </row>
    <row r="222" spans="1:11" ht="16.5" customHeight="1" x14ac:dyDescent="0.2">
      <c r="A222" s="6">
        <v>424</v>
      </c>
      <c r="B222" s="102" t="s">
        <v>443</v>
      </c>
      <c r="C222" s="103"/>
      <c r="D222" s="102" t="s">
        <v>6</v>
      </c>
      <c r="E222" s="103"/>
      <c r="F222" s="104">
        <v>30</v>
      </c>
      <c r="G222" s="105"/>
      <c r="H222" s="11">
        <v>476</v>
      </c>
      <c r="I222" s="7" t="s">
        <v>444</v>
      </c>
      <c r="J222" s="7" t="s">
        <v>6</v>
      </c>
      <c r="K222" s="9">
        <v>56</v>
      </c>
    </row>
    <row r="223" spans="1:11" ht="16.5" customHeight="1" x14ac:dyDescent="0.2">
      <c r="A223" s="6">
        <v>425</v>
      </c>
      <c r="B223" s="102" t="s">
        <v>445</v>
      </c>
      <c r="C223" s="103"/>
      <c r="D223" s="102" t="s">
        <v>227</v>
      </c>
      <c r="E223" s="103"/>
      <c r="F223" s="104">
        <v>43</v>
      </c>
      <c r="G223" s="105"/>
      <c r="H223" s="11">
        <v>477</v>
      </c>
      <c r="I223" s="7" t="s">
        <v>446</v>
      </c>
      <c r="J223" s="7" t="s">
        <v>6</v>
      </c>
      <c r="K223" s="9">
        <v>74</v>
      </c>
    </row>
    <row r="224" spans="1:11" ht="16.5" customHeight="1" x14ac:dyDescent="0.2">
      <c r="A224" s="6">
        <v>426</v>
      </c>
      <c r="B224" s="102" t="s">
        <v>447</v>
      </c>
      <c r="C224" s="103"/>
      <c r="D224" s="102" t="s">
        <v>6</v>
      </c>
      <c r="E224" s="103"/>
      <c r="F224" s="104">
        <v>26</v>
      </c>
      <c r="G224" s="105"/>
      <c r="H224" s="11">
        <v>478</v>
      </c>
      <c r="I224" s="7" t="s">
        <v>448</v>
      </c>
      <c r="J224" s="7" t="s">
        <v>227</v>
      </c>
      <c r="K224" s="9">
        <v>151</v>
      </c>
    </row>
    <row r="225" spans="1:11" ht="16.5" customHeight="1" x14ac:dyDescent="0.2">
      <c r="A225" s="6">
        <v>427</v>
      </c>
      <c r="B225" s="102" t="s">
        <v>449</v>
      </c>
      <c r="C225" s="103"/>
      <c r="D225" s="102" t="s">
        <v>3</v>
      </c>
      <c r="E225" s="103"/>
      <c r="F225" s="104">
        <v>65</v>
      </c>
      <c r="G225" s="105"/>
      <c r="H225" s="11">
        <v>479</v>
      </c>
      <c r="I225" s="7" t="s">
        <v>450</v>
      </c>
      <c r="J225" s="7" t="s">
        <v>451</v>
      </c>
      <c r="K225" s="9">
        <v>155</v>
      </c>
    </row>
    <row r="226" spans="1:11" ht="16.5" customHeight="1" x14ac:dyDescent="0.2">
      <c r="A226" s="6">
        <v>428</v>
      </c>
      <c r="B226" s="102" t="s">
        <v>452</v>
      </c>
      <c r="C226" s="103"/>
      <c r="D226" s="102" t="s">
        <v>6</v>
      </c>
      <c r="E226" s="103"/>
      <c r="F226" s="104">
        <v>66</v>
      </c>
      <c r="G226" s="105"/>
      <c r="H226" s="11">
        <v>480</v>
      </c>
      <c r="I226" s="7" t="s">
        <v>453</v>
      </c>
      <c r="J226" s="7" t="s">
        <v>3</v>
      </c>
      <c r="K226" s="9">
        <v>28</v>
      </c>
    </row>
    <row r="227" spans="1:11" ht="16.5" customHeight="1" x14ac:dyDescent="0.2">
      <c r="A227" s="6">
        <v>429</v>
      </c>
      <c r="B227" s="102" t="s">
        <v>454</v>
      </c>
      <c r="C227" s="103"/>
      <c r="D227" s="102" t="s">
        <v>6</v>
      </c>
      <c r="E227" s="103"/>
      <c r="F227" s="104">
        <v>68</v>
      </c>
      <c r="G227" s="105"/>
      <c r="H227" s="11">
        <v>481</v>
      </c>
      <c r="I227" s="7" t="s">
        <v>455</v>
      </c>
      <c r="J227" s="7" t="s">
        <v>3</v>
      </c>
      <c r="K227" s="9">
        <v>12</v>
      </c>
    </row>
    <row r="228" spans="1:11" ht="16.5" customHeight="1" x14ac:dyDescent="0.2">
      <c r="A228" s="12">
        <v>430</v>
      </c>
      <c r="B228" s="102" t="s">
        <v>456</v>
      </c>
      <c r="C228" s="103"/>
      <c r="D228" s="102" t="s">
        <v>6</v>
      </c>
      <c r="E228" s="103"/>
      <c r="F228" s="104">
        <v>25</v>
      </c>
      <c r="G228" s="105"/>
      <c r="H228" s="13">
        <v>482</v>
      </c>
      <c r="I228" s="7" t="s">
        <v>457</v>
      </c>
      <c r="J228" s="7" t="s">
        <v>6</v>
      </c>
      <c r="K228" s="9">
        <v>45</v>
      </c>
    </row>
    <row r="229" spans="1:11" ht="16.5" customHeight="1" x14ac:dyDescent="0.2">
      <c r="A229" s="6">
        <v>431</v>
      </c>
      <c r="B229" s="102" t="s">
        <v>458</v>
      </c>
      <c r="C229" s="103"/>
      <c r="D229" s="102" t="s">
        <v>6</v>
      </c>
      <c r="E229" s="103"/>
      <c r="F229" s="104">
        <v>126</v>
      </c>
      <c r="G229" s="105"/>
      <c r="H229" s="11">
        <v>483</v>
      </c>
      <c r="I229" s="7" t="s">
        <v>459</v>
      </c>
      <c r="J229" s="7" t="s">
        <v>6</v>
      </c>
      <c r="K229" s="9">
        <v>63</v>
      </c>
    </row>
    <row r="230" spans="1:11" ht="16.5" customHeight="1" x14ac:dyDescent="0.2">
      <c r="A230" s="12">
        <v>432</v>
      </c>
      <c r="B230" s="102" t="s">
        <v>460</v>
      </c>
      <c r="C230" s="103"/>
      <c r="D230" s="102" t="s">
        <v>6</v>
      </c>
      <c r="E230" s="103"/>
      <c r="F230" s="104">
        <v>42</v>
      </c>
      <c r="G230" s="105"/>
      <c r="H230" s="13">
        <v>484</v>
      </c>
      <c r="I230" s="7" t="s">
        <v>461</v>
      </c>
      <c r="J230" s="7" t="s">
        <v>3</v>
      </c>
      <c r="K230" s="9">
        <v>40</v>
      </c>
    </row>
    <row r="231" spans="1:11" ht="16.5" customHeight="1" x14ac:dyDescent="0.2">
      <c r="A231" s="6">
        <v>433</v>
      </c>
      <c r="B231" s="102" t="s">
        <v>462</v>
      </c>
      <c r="C231" s="103"/>
      <c r="D231" s="102" t="s">
        <v>6</v>
      </c>
      <c r="E231" s="103"/>
      <c r="F231" s="104">
        <v>33</v>
      </c>
      <c r="G231" s="105"/>
      <c r="H231" s="11">
        <v>485</v>
      </c>
      <c r="I231" s="7" t="s">
        <v>463</v>
      </c>
      <c r="J231" s="7" t="s">
        <v>3</v>
      </c>
      <c r="K231" s="9">
        <v>34</v>
      </c>
    </row>
    <row r="232" spans="1:11" ht="16.5" customHeight="1" x14ac:dyDescent="0.2">
      <c r="A232" s="12">
        <v>434</v>
      </c>
      <c r="B232" s="102" t="s">
        <v>464</v>
      </c>
      <c r="C232" s="103"/>
      <c r="D232" s="102" t="s">
        <v>6</v>
      </c>
      <c r="E232" s="103"/>
      <c r="F232" s="104">
        <v>57</v>
      </c>
      <c r="G232" s="105"/>
      <c r="H232" s="13">
        <v>486</v>
      </c>
      <c r="I232" s="7" t="s">
        <v>465</v>
      </c>
      <c r="J232" s="7" t="s">
        <v>6</v>
      </c>
      <c r="K232" s="9">
        <v>60</v>
      </c>
    </row>
    <row r="233" spans="1:11" ht="16.5" customHeight="1" x14ac:dyDescent="0.2">
      <c r="A233" s="6">
        <v>435</v>
      </c>
      <c r="B233" s="102" t="s">
        <v>466</v>
      </c>
      <c r="C233" s="103"/>
      <c r="D233" s="102" t="s">
        <v>6</v>
      </c>
      <c r="E233" s="103"/>
      <c r="F233" s="104">
        <v>50</v>
      </c>
      <c r="G233" s="105"/>
      <c r="H233" s="11">
        <v>487</v>
      </c>
      <c r="I233" s="7" t="s">
        <v>467</v>
      </c>
      <c r="J233" s="7" t="s">
        <v>6</v>
      </c>
      <c r="K233" s="9">
        <v>35</v>
      </c>
    </row>
    <row r="234" spans="1:11" ht="16.5" customHeight="1" x14ac:dyDescent="0.2">
      <c r="A234" s="12">
        <v>436</v>
      </c>
      <c r="B234" s="102" t="s">
        <v>468</v>
      </c>
      <c r="C234" s="103"/>
      <c r="D234" s="102" t="s">
        <v>12</v>
      </c>
      <c r="E234" s="103"/>
      <c r="F234" s="104">
        <v>26.5</v>
      </c>
      <c r="G234" s="105"/>
      <c r="H234" s="13">
        <v>488</v>
      </c>
      <c r="I234" s="7" t="s">
        <v>469</v>
      </c>
      <c r="J234" s="7" t="s">
        <v>6</v>
      </c>
      <c r="K234" s="9">
        <v>15</v>
      </c>
    </row>
    <row r="235" spans="1:11" ht="16.5" customHeight="1" x14ac:dyDescent="0.2">
      <c r="A235" s="6">
        <v>437</v>
      </c>
      <c r="B235" s="102" t="s">
        <v>470</v>
      </c>
      <c r="C235" s="103"/>
      <c r="D235" s="102" t="s">
        <v>3</v>
      </c>
      <c r="E235" s="103"/>
      <c r="F235" s="104">
        <v>42</v>
      </c>
      <c r="G235" s="105"/>
      <c r="H235" s="11">
        <v>489</v>
      </c>
      <c r="I235" s="7" t="s">
        <v>471</v>
      </c>
      <c r="J235" s="7" t="s">
        <v>6</v>
      </c>
      <c r="K235" s="9">
        <v>20</v>
      </c>
    </row>
    <row r="236" spans="1:11" ht="16.5" customHeight="1" x14ac:dyDescent="0.2">
      <c r="A236" s="12">
        <v>438</v>
      </c>
      <c r="B236" s="102" t="s">
        <v>472</v>
      </c>
      <c r="C236" s="103"/>
      <c r="D236" s="102" t="s">
        <v>6</v>
      </c>
      <c r="E236" s="103"/>
      <c r="F236" s="104">
        <v>90</v>
      </c>
      <c r="G236" s="105"/>
      <c r="H236" s="13">
        <v>490</v>
      </c>
      <c r="I236" s="7" t="s">
        <v>473</v>
      </c>
      <c r="J236" s="7" t="s">
        <v>3</v>
      </c>
      <c r="K236" s="9">
        <v>22.5</v>
      </c>
    </row>
    <row r="237" spans="1:11" ht="16.5" customHeight="1" x14ac:dyDescent="0.2">
      <c r="A237" s="6">
        <v>439</v>
      </c>
      <c r="B237" s="102" t="s">
        <v>474</v>
      </c>
      <c r="C237" s="103"/>
      <c r="D237" s="102" t="s">
        <v>6</v>
      </c>
      <c r="E237" s="103"/>
      <c r="F237" s="104">
        <v>25</v>
      </c>
      <c r="G237" s="105"/>
      <c r="H237" s="11">
        <v>491</v>
      </c>
      <c r="I237" s="7" t="s">
        <v>475</v>
      </c>
      <c r="J237" s="7" t="s">
        <v>101</v>
      </c>
      <c r="K237" s="9">
        <v>46.4</v>
      </c>
    </row>
    <row r="238" spans="1:11" ht="16.5" customHeight="1" x14ac:dyDescent="0.2">
      <c r="A238" s="12">
        <v>440</v>
      </c>
      <c r="B238" s="102" t="s">
        <v>476</v>
      </c>
      <c r="C238" s="103"/>
      <c r="D238" s="102" t="s">
        <v>6</v>
      </c>
      <c r="E238" s="103"/>
      <c r="F238" s="104">
        <v>152</v>
      </c>
      <c r="G238" s="105"/>
      <c r="H238" s="13">
        <v>492</v>
      </c>
      <c r="I238" s="7" t="s">
        <v>477</v>
      </c>
      <c r="J238" s="7" t="s">
        <v>3</v>
      </c>
      <c r="K238" s="9">
        <v>24</v>
      </c>
    </row>
    <row r="239" spans="1:11" ht="16.5" customHeight="1" x14ac:dyDescent="0.2">
      <c r="A239" s="6">
        <v>441</v>
      </c>
      <c r="B239" s="102" t="s">
        <v>478</v>
      </c>
      <c r="C239" s="103"/>
      <c r="D239" s="102" t="s">
        <v>6</v>
      </c>
      <c r="E239" s="103"/>
      <c r="F239" s="104">
        <v>242</v>
      </c>
      <c r="G239" s="105"/>
      <c r="H239" s="11">
        <v>493</v>
      </c>
      <c r="I239" s="7" t="s">
        <v>479</v>
      </c>
      <c r="J239" s="7" t="s">
        <v>6</v>
      </c>
      <c r="K239" s="9">
        <v>40</v>
      </c>
    </row>
    <row r="240" spans="1:11" ht="16.5" customHeight="1" x14ac:dyDescent="0.2">
      <c r="A240" s="12">
        <v>442</v>
      </c>
      <c r="B240" s="102" t="s">
        <v>480</v>
      </c>
      <c r="C240" s="103"/>
      <c r="D240" s="102" t="s">
        <v>6</v>
      </c>
      <c r="E240" s="103"/>
      <c r="F240" s="104">
        <v>26.5</v>
      </c>
      <c r="G240" s="105"/>
      <c r="H240" s="13">
        <v>494</v>
      </c>
      <c r="I240" s="7" t="s">
        <v>481</v>
      </c>
      <c r="J240" s="7" t="s">
        <v>6</v>
      </c>
      <c r="K240" s="9">
        <v>61</v>
      </c>
    </row>
    <row r="241" spans="1:11" ht="16.5" customHeight="1" x14ac:dyDescent="0.2">
      <c r="A241" s="6">
        <v>443</v>
      </c>
      <c r="B241" s="102" t="s">
        <v>482</v>
      </c>
      <c r="C241" s="103"/>
      <c r="D241" s="102" t="s">
        <v>6</v>
      </c>
      <c r="E241" s="103"/>
      <c r="F241" s="104">
        <v>20</v>
      </c>
      <c r="G241" s="105"/>
      <c r="H241" s="11">
        <v>495</v>
      </c>
      <c r="I241" s="7" t="s">
        <v>483</v>
      </c>
      <c r="J241" s="7" t="s">
        <v>6</v>
      </c>
      <c r="K241" s="9">
        <v>145</v>
      </c>
    </row>
    <row r="242" spans="1:11" ht="16.5" customHeight="1" x14ac:dyDescent="0.2">
      <c r="A242" s="12">
        <v>444</v>
      </c>
      <c r="B242" s="102" t="s">
        <v>484</v>
      </c>
      <c r="C242" s="103"/>
      <c r="D242" s="102" t="s">
        <v>6</v>
      </c>
      <c r="E242" s="103"/>
      <c r="F242" s="104">
        <v>66</v>
      </c>
      <c r="G242" s="105"/>
      <c r="H242" s="13">
        <v>496</v>
      </c>
      <c r="I242" s="7" t="s">
        <v>485</v>
      </c>
      <c r="J242" s="7" t="s">
        <v>6</v>
      </c>
      <c r="K242" s="9">
        <v>22</v>
      </c>
    </row>
    <row r="243" spans="1:11" ht="16.5" customHeight="1" x14ac:dyDescent="0.2">
      <c r="A243" s="6">
        <v>445</v>
      </c>
      <c r="B243" s="102" t="s">
        <v>486</v>
      </c>
      <c r="C243" s="103"/>
      <c r="D243" s="102" t="s">
        <v>6</v>
      </c>
      <c r="E243" s="103"/>
      <c r="F243" s="104">
        <v>31</v>
      </c>
      <c r="G243" s="105"/>
      <c r="H243" s="11">
        <v>497</v>
      </c>
      <c r="I243" s="7" t="s">
        <v>487</v>
      </c>
      <c r="J243" s="7" t="s">
        <v>6</v>
      </c>
      <c r="K243" s="9">
        <v>45</v>
      </c>
    </row>
    <row r="244" spans="1:11" ht="16.5" customHeight="1" x14ac:dyDescent="0.2">
      <c r="A244" s="12">
        <v>446</v>
      </c>
      <c r="B244" s="102" t="s">
        <v>488</v>
      </c>
      <c r="C244" s="103"/>
      <c r="D244" s="102" t="s">
        <v>37</v>
      </c>
      <c r="E244" s="103"/>
      <c r="F244" s="104">
        <v>24</v>
      </c>
      <c r="G244" s="105"/>
      <c r="H244" s="13">
        <v>498</v>
      </c>
      <c r="I244" s="7" t="s">
        <v>489</v>
      </c>
      <c r="J244" s="7" t="s">
        <v>6</v>
      </c>
      <c r="K244" s="9">
        <v>12</v>
      </c>
    </row>
    <row r="245" spans="1:11" ht="16.5" customHeight="1" x14ac:dyDescent="0.2">
      <c r="A245" s="6">
        <v>447</v>
      </c>
      <c r="B245" s="102" t="s">
        <v>490</v>
      </c>
      <c r="C245" s="103"/>
      <c r="D245" s="102" t="s">
        <v>3</v>
      </c>
      <c r="E245" s="103"/>
      <c r="F245" s="104">
        <v>53</v>
      </c>
      <c r="G245" s="105"/>
      <c r="H245" s="11">
        <v>499</v>
      </c>
      <c r="I245" s="7" t="s">
        <v>491</v>
      </c>
      <c r="J245" s="7" t="s">
        <v>6</v>
      </c>
      <c r="K245" s="9">
        <v>18</v>
      </c>
    </row>
    <row r="246" spans="1:11" ht="16.5" customHeight="1" x14ac:dyDescent="0.2">
      <c r="A246" s="12">
        <v>448</v>
      </c>
      <c r="B246" s="102" t="s">
        <v>492</v>
      </c>
      <c r="C246" s="103"/>
      <c r="D246" s="102" t="s">
        <v>6</v>
      </c>
      <c r="E246" s="103"/>
      <c r="F246" s="104">
        <v>109</v>
      </c>
      <c r="G246" s="105"/>
      <c r="H246" s="13">
        <v>500</v>
      </c>
      <c r="I246" s="7" t="s">
        <v>493</v>
      </c>
      <c r="J246" s="7" t="s">
        <v>6</v>
      </c>
      <c r="K246" s="9">
        <v>8</v>
      </c>
    </row>
    <row r="247" spans="1:11" ht="16.5" customHeight="1" x14ac:dyDescent="0.2">
      <c r="A247" s="6">
        <v>449</v>
      </c>
      <c r="B247" s="102" t="s">
        <v>494</v>
      </c>
      <c r="C247" s="103"/>
      <c r="D247" s="102" t="s">
        <v>6</v>
      </c>
      <c r="E247" s="103"/>
      <c r="F247" s="104">
        <v>18</v>
      </c>
      <c r="G247" s="105"/>
      <c r="H247" s="11">
        <v>501</v>
      </c>
      <c r="I247" s="7" t="s">
        <v>495</v>
      </c>
      <c r="J247" s="7" t="s">
        <v>6</v>
      </c>
      <c r="K247" s="9">
        <v>60</v>
      </c>
    </row>
    <row r="248" spans="1:11" ht="16.5" customHeight="1" x14ac:dyDescent="0.2">
      <c r="A248" s="12">
        <v>450</v>
      </c>
      <c r="B248" s="102" t="s">
        <v>496</v>
      </c>
      <c r="C248" s="103"/>
      <c r="D248" s="102" t="s">
        <v>6</v>
      </c>
      <c r="E248" s="103"/>
      <c r="F248" s="104">
        <v>27</v>
      </c>
      <c r="G248" s="105"/>
      <c r="H248" s="13">
        <v>502</v>
      </c>
      <c r="I248" s="7" t="s">
        <v>497</v>
      </c>
      <c r="J248" s="7" t="s">
        <v>12</v>
      </c>
      <c r="K248" s="9">
        <v>42.5</v>
      </c>
    </row>
    <row r="249" spans="1:11" ht="16.5" customHeight="1" x14ac:dyDescent="0.2">
      <c r="A249" s="6">
        <v>451</v>
      </c>
      <c r="B249" s="102" t="s">
        <v>498</v>
      </c>
      <c r="C249" s="103"/>
      <c r="D249" s="102" t="s">
        <v>6</v>
      </c>
      <c r="E249" s="103"/>
      <c r="F249" s="104">
        <v>101</v>
      </c>
      <c r="G249" s="105"/>
      <c r="H249" s="11">
        <v>503</v>
      </c>
      <c r="I249" s="7" t="s">
        <v>499</v>
      </c>
      <c r="J249" s="7" t="s">
        <v>12</v>
      </c>
      <c r="K249" s="9">
        <v>11</v>
      </c>
    </row>
    <row r="250" spans="1:11" ht="16.5" customHeight="1" x14ac:dyDescent="0.2">
      <c r="A250" s="12">
        <v>452</v>
      </c>
      <c r="B250" s="102" t="s">
        <v>500</v>
      </c>
      <c r="C250" s="103"/>
      <c r="D250" s="102" t="s">
        <v>101</v>
      </c>
      <c r="E250" s="103"/>
      <c r="F250" s="104">
        <v>24</v>
      </c>
      <c r="G250" s="105"/>
      <c r="H250" s="13">
        <v>504</v>
      </c>
      <c r="I250" s="7" t="s">
        <v>501</v>
      </c>
      <c r="J250" s="7" t="s">
        <v>12</v>
      </c>
      <c r="K250" s="9">
        <v>25.5</v>
      </c>
    </row>
    <row r="251" spans="1:11" ht="16.5" customHeight="1" x14ac:dyDescent="0.2">
      <c r="A251" s="6">
        <v>453</v>
      </c>
      <c r="B251" s="102" t="s">
        <v>502</v>
      </c>
      <c r="C251" s="103"/>
      <c r="D251" s="102" t="s">
        <v>6</v>
      </c>
      <c r="E251" s="103"/>
      <c r="F251" s="104">
        <v>35</v>
      </c>
      <c r="G251" s="105"/>
      <c r="H251" s="11">
        <v>505</v>
      </c>
      <c r="I251" s="7" t="s">
        <v>503</v>
      </c>
      <c r="J251" s="7" t="s">
        <v>6</v>
      </c>
      <c r="K251" s="9">
        <v>4.5</v>
      </c>
    </row>
    <row r="252" spans="1:11" ht="16.5" customHeight="1" x14ac:dyDescent="0.2">
      <c r="A252" s="12">
        <v>454</v>
      </c>
      <c r="B252" s="102" t="s">
        <v>504</v>
      </c>
      <c r="C252" s="103"/>
      <c r="D252" s="102" t="s">
        <v>6</v>
      </c>
      <c r="E252" s="103"/>
      <c r="F252" s="104">
        <v>149</v>
      </c>
      <c r="G252" s="105"/>
      <c r="H252" s="13">
        <v>506</v>
      </c>
      <c r="I252" s="7" t="s">
        <v>505</v>
      </c>
      <c r="J252" s="7" t="s">
        <v>6</v>
      </c>
      <c r="K252" s="9">
        <v>4</v>
      </c>
    </row>
    <row r="253" spans="1:11" ht="16.5" customHeight="1" x14ac:dyDescent="0.2">
      <c r="A253" s="6">
        <v>455</v>
      </c>
      <c r="B253" s="102" t="s">
        <v>506</v>
      </c>
      <c r="C253" s="103"/>
      <c r="D253" s="102" t="s">
        <v>6</v>
      </c>
      <c r="E253" s="103"/>
      <c r="F253" s="104">
        <v>35</v>
      </c>
      <c r="G253" s="105"/>
      <c r="H253" s="11">
        <v>507</v>
      </c>
      <c r="I253" s="7" t="s">
        <v>507</v>
      </c>
      <c r="J253" s="7" t="s">
        <v>6</v>
      </c>
      <c r="K253" s="9">
        <v>42</v>
      </c>
    </row>
    <row r="254" spans="1:11" ht="16.5" customHeight="1" x14ac:dyDescent="0.2">
      <c r="A254" s="12">
        <v>456</v>
      </c>
      <c r="B254" s="102" t="s">
        <v>508</v>
      </c>
      <c r="C254" s="103"/>
      <c r="D254" s="102" t="s">
        <v>3</v>
      </c>
      <c r="E254" s="103"/>
      <c r="F254" s="104">
        <v>35</v>
      </c>
      <c r="G254" s="105"/>
      <c r="H254" s="13">
        <v>508</v>
      </c>
      <c r="I254" s="7" t="s">
        <v>509</v>
      </c>
      <c r="J254" s="7" t="s">
        <v>6</v>
      </c>
      <c r="K254" s="9">
        <v>25.5</v>
      </c>
    </row>
    <row r="255" spans="1:11" ht="16.5" customHeight="1" x14ac:dyDescent="0.2">
      <c r="A255" s="6">
        <v>457</v>
      </c>
      <c r="B255" s="102" t="s">
        <v>510</v>
      </c>
      <c r="C255" s="103"/>
      <c r="D255" s="102" t="s">
        <v>6</v>
      </c>
      <c r="E255" s="103"/>
      <c r="F255" s="104">
        <v>54</v>
      </c>
      <c r="G255" s="105"/>
      <c r="H255" s="11">
        <v>509</v>
      </c>
      <c r="I255" s="7" t="s">
        <v>511</v>
      </c>
      <c r="J255" s="7" t="s">
        <v>6</v>
      </c>
      <c r="K255" s="9">
        <v>132</v>
      </c>
    </row>
    <row r="256" spans="1:11" ht="16.5" customHeight="1" x14ac:dyDescent="0.2">
      <c r="A256" s="12">
        <v>458</v>
      </c>
      <c r="B256" s="102" t="s">
        <v>512</v>
      </c>
      <c r="C256" s="103"/>
      <c r="D256" s="102" t="s">
        <v>3</v>
      </c>
      <c r="E256" s="103"/>
      <c r="F256" s="104">
        <v>60</v>
      </c>
      <c r="G256" s="105"/>
      <c r="H256" s="13">
        <v>510</v>
      </c>
      <c r="I256" s="7" t="s">
        <v>513</v>
      </c>
      <c r="J256" s="7" t="s">
        <v>3</v>
      </c>
      <c r="K256" s="9">
        <v>68.5</v>
      </c>
    </row>
    <row r="257" spans="1:11" ht="16.5" customHeight="1" x14ac:dyDescent="0.2">
      <c r="A257" s="6">
        <v>459</v>
      </c>
      <c r="B257" s="102" t="s">
        <v>514</v>
      </c>
      <c r="C257" s="103"/>
      <c r="D257" s="102" t="s">
        <v>6</v>
      </c>
      <c r="E257" s="103"/>
      <c r="F257" s="104">
        <v>25</v>
      </c>
      <c r="G257" s="105"/>
      <c r="H257" s="11">
        <v>511</v>
      </c>
      <c r="I257" s="7" t="s">
        <v>515</v>
      </c>
      <c r="J257" s="7" t="s">
        <v>516</v>
      </c>
      <c r="K257" s="9">
        <v>5.5</v>
      </c>
    </row>
    <row r="258" spans="1:11" ht="16.5" customHeight="1" x14ac:dyDescent="0.2">
      <c r="A258" s="12">
        <v>460</v>
      </c>
      <c r="B258" s="102" t="s">
        <v>517</v>
      </c>
      <c r="C258" s="103"/>
      <c r="D258" s="102" t="s">
        <v>6</v>
      </c>
      <c r="E258" s="103"/>
      <c r="F258" s="104">
        <v>30</v>
      </c>
      <c r="G258" s="105"/>
      <c r="H258" s="13">
        <v>512</v>
      </c>
      <c r="I258" s="7" t="s">
        <v>518</v>
      </c>
      <c r="J258" s="7" t="s">
        <v>516</v>
      </c>
      <c r="K258" s="9">
        <v>3</v>
      </c>
    </row>
    <row r="259" spans="1:11" ht="16.5" customHeight="1" x14ac:dyDescent="0.2">
      <c r="A259" s="6">
        <v>461</v>
      </c>
      <c r="B259" s="102" t="s">
        <v>519</v>
      </c>
      <c r="C259" s="103"/>
      <c r="D259" s="102" t="s">
        <v>6</v>
      </c>
      <c r="E259" s="103"/>
      <c r="F259" s="104">
        <v>30</v>
      </c>
      <c r="G259" s="105"/>
      <c r="H259" s="11">
        <v>513</v>
      </c>
      <c r="I259" s="7" t="s">
        <v>520</v>
      </c>
      <c r="J259" s="7" t="s">
        <v>3</v>
      </c>
      <c r="K259" s="9">
        <v>39</v>
      </c>
    </row>
    <row r="260" spans="1:11" ht="16.5" customHeight="1" x14ac:dyDescent="0.2">
      <c r="A260" s="12">
        <v>462</v>
      </c>
      <c r="B260" s="102" t="s">
        <v>521</v>
      </c>
      <c r="C260" s="103"/>
      <c r="D260" s="102" t="s">
        <v>3</v>
      </c>
      <c r="E260" s="103"/>
      <c r="F260" s="104">
        <v>16</v>
      </c>
      <c r="G260" s="105"/>
      <c r="H260" s="13">
        <v>514</v>
      </c>
      <c r="I260" s="7" t="s">
        <v>522</v>
      </c>
      <c r="J260" s="7" t="s">
        <v>6</v>
      </c>
      <c r="K260" s="9">
        <v>160</v>
      </c>
    </row>
    <row r="261" spans="1:11" ht="16.5" customHeight="1" x14ac:dyDescent="0.2">
      <c r="A261" s="6">
        <v>463</v>
      </c>
      <c r="B261" s="102" t="s">
        <v>523</v>
      </c>
      <c r="C261" s="103"/>
      <c r="D261" s="102" t="s">
        <v>6</v>
      </c>
      <c r="E261" s="103"/>
      <c r="F261" s="104">
        <v>41.5</v>
      </c>
      <c r="G261" s="105"/>
      <c r="H261" s="11">
        <v>515</v>
      </c>
      <c r="I261" s="7" t="s">
        <v>524</v>
      </c>
      <c r="J261" s="7" t="s">
        <v>6</v>
      </c>
      <c r="K261" s="9">
        <v>85</v>
      </c>
    </row>
    <row r="262" spans="1:11" ht="16.5" customHeight="1" x14ac:dyDescent="0.2">
      <c r="A262" s="12">
        <v>464</v>
      </c>
      <c r="B262" s="102" t="s">
        <v>525</v>
      </c>
      <c r="C262" s="103"/>
      <c r="D262" s="102" t="s">
        <v>6</v>
      </c>
      <c r="E262" s="103"/>
      <c r="F262" s="104">
        <v>88.4</v>
      </c>
      <c r="G262" s="105"/>
      <c r="H262" s="13">
        <v>516</v>
      </c>
      <c r="I262" s="7" t="s">
        <v>526</v>
      </c>
      <c r="J262" s="7" t="s">
        <v>6</v>
      </c>
      <c r="K262" s="9">
        <v>79</v>
      </c>
    </row>
    <row r="263" spans="1:11" ht="16.5" customHeight="1" x14ac:dyDescent="0.2">
      <c r="A263" s="6">
        <v>465</v>
      </c>
      <c r="B263" s="102" t="s">
        <v>527</v>
      </c>
      <c r="C263" s="103"/>
      <c r="D263" s="102" t="s">
        <v>6</v>
      </c>
      <c r="E263" s="103"/>
      <c r="F263" s="104">
        <v>155</v>
      </c>
      <c r="G263" s="105"/>
      <c r="H263" s="11">
        <v>517</v>
      </c>
      <c r="I263" s="7" t="s">
        <v>528</v>
      </c>
      <c r="J263" s="7" t="s">
        <v>6</v>
      </c>
      <c r="K263" s="9">
        <v>76</v>
      </c>
    </row>
    <row r="264" spans="1:11" ht="16.5" customHeight="1" x14ac:dyDescent="0.2">
      <c r="A264" s="12">
        <v>466</v>
      </c>
      <c r="B264" s="102" t="s">
        <v>529</v>
      </c>
      <c r="C264" s="103"/>
      <c r="D264" s="102" t="s">
        <v>12</v>
      </c>
      <c r="E264" s="103"/>
      <c r="F264" s="104">
        <v>12.5</v>
      </c>
      <c r="G264" s="105"/>
      <c r="H264" s="13">
        <v>518</v>
      </c>
      <c r="I264" s="7" t="s">
        <v>530</v>
      </c>
      <c r="J264" s="7" t="s">
        <v>101</v>
      </c>
      <c r="K264" s="9">
        <v>38</v>
      </c>
    </row>
    <row r="265" spans="1:11" ht="16.5" customHeight="1" x14ac:dyDescent="0.2">
      <c r="A265" s="6">
        <v>467</v>
      </c>
      <c r="B265" s="102" t="s">
        <v>531</v>
      </c>
      <c r="C265" s="103"/>
      <c r="D265" s="102" t="s">
        <v>6</v>
      </c>
      <c r="E265" s="103"/>
      <c r="F265" s="104">
        <v>92</v>
      </c>
      <c r="G265" s="105"/>
      <c r="H265" s="11">
        <v>519</v>
      </c>
      <c r="I265" s="7" t="s">
        <v>532</v>
      </c>
      <c r="J265" s="7" t="s">
        <v>6</v>
      </c>
      <c r="K265" s="9">
        <v>48.5</v>
      </c>
    </row>
    <row r="266" spans="1:11" ht="16.5" customHeight="1" x14ac:dyDescent="0.2">
      <c r="A266" s="14">
        <v>468</v>
      </c>
      <c r="B266" s="102" t="s">
        <v>533</v>
      </c>
      <c r="C266" s="103"/>
      <c r="D266" s="102" t="s">
        <v>323</v>
      </c>
      <c r="E266" s="103"/>
      <c r="F266" s="106">
        <v>48.5</v>
      </c>
      <c r="G266" s="107"/>
      <c r="H266" s="17">
        <v>520</v>
      </c>
      <c r="I266" s="7" t="s">
        <v>534</v>
      </c>
      <c r="J266" s="7" t="s">
        <v>535</v>
      </c>
      <c r="K266" s="15">
        <v>27</v>
      </c>
    </row>
    <row r="267" spans="1:11" ht="14.25" customHeight="1" x14ac:dyDescent="0.2">
      <c r="A267" s="1"/>
      <c r="B267" s="97" t="s">
        <v>1</v>
      </c>
      <c r="C267" s="98"/>
      <c r="D267" s="99"/>
      <c r="E267" s="100"/>
      <c r="F267" s="99"/>
      <c r="G267" s="100"/>
      <c r="H267" s="4"/>
      <c r="I267" s="2" t="s">
        <v>1</v>
      </c>
      <c r="J267" s="3"/>
      <c r="K267" s="3"/>
    </row>
    <row r="268" spans="1:11" ht="16.5" customHeight="1" x14ac:dyDescent="0.2">
      <c r="A268" s="6">
        <v>521</v>
      </c>
      <c r="B268" s="102" t="s">
        <v>536</v>
      </c>
      <c r="C268" s="103"/>
      <c r="D268" s="102" t="s">
        <v>6</v>
      </c>
      <c r="E268" s="103"/>
      <c r="F268" s="104">
        <v>159</v>
      </c>
      <c r="G268" s="105"/>
      <c r="H268" s="11">
        <v>573</v>
      </c>
      <c r="I268" s="7" t="s">
        <v>537</v>
      </c>
      <c r="J268" s="7" t="s">
        <v>3</v>
      </c>
      <c r="K268" s="9">
        <v>33</v>
      </c>
    </row>
    <row r="269" spans="1:11" ht="16.5" customHeight="1" x14ac:dyDescent="0.2">
      <c r="A269" s="6">
        <v>522</v>
      </c>
      <c r="B269" s="102" t="s">
        <v>538</v>
      </c>
      <c r="C269" s="103"/>
      <c r="D269" s="102" t="s">
        <v>12</v>
      </c>
      <c r="E269" s="103"/>
      <c r="F269" s="104">
        <v>13.5</v>
      </c>
      <c r="G269" s="105"/>
      <c r="H269" s="11">
        <v>574</v>
      </c>
      <c r="I269" s="7" t="s">
        <v>539</v>
      </c>
      <c r="J269" s="7" t="s">
        <v>6</v>
      </c>
      <c r="K269" s="9">
        <v>158</v>
      </c>
    </row>
    <row r="270" spans="1:11" ht="16.5" customHeight="1" x14ac:dyDescent="0.2">
      <c r="A270" s="6">
        <v>523</v>
      </c>
      <c r="B270" s="102" t="s">
        <v>540</v>
      </c>
      <c r="C270" s="103"/>
      <c r="D270" s="102" t="s">
        <v>101</v>
      </c>
      <c r="E270" s="103"/>
      <c r="F270" s="104">
        <v>182</v>
      </c>
      <c r="G270" s="105"/>
      <c r="H270" s="11">
        <v>575</v>
      </c>
      <c r="I270" s="7" t="s">
        <v>541</v>
      </c>
      <c r="J270" s="7" t="s">
        <v>6</v>
      </c>
      <c r="K270" s="9">
        <v>54</v>
      </c>
    </row>
    <row r="271" spans="1:11" ht="16.5" customHeight="1" x14ac:dyDescent="0.2">
      <c r="A271" s="6">
        <v>524</v>
      </c>
      <c r="B271" s="102" t="s">
        <v>542</v>
      </c>
      <c r="C271" s="103"/>
      <c r="D271" s="102" t="s">
        <v>6</v>
      </c>
      <c r="E271" s="103"/>
      <c r="F271" s="104">
        <v>108</v>
      </c>
      <c r="G271" s="105"/>
      <c r="H271" s="11">
        <v>576</v>
      </c>
      <c r="I271" s="7" t="s">
        <v>543</v>
      </c>
      <c r="J271" s="7" t="s">
        <v>6</v>
      </c>
      <c r="K271" s="9">
        <v>47</v>
      </c>
    </row>
    <row r="272" spans="1:11" ht="16.5" customHeight="1" x14ac:dyDescent="0.2">
      <c r="A272" s="6">
        <v>525</v>
      </c>
      <c r="B272" s="102" t="s">
        <v>544</v>
      </c>
      <c r="C272" s="103"/>
      <c r="D272" s="102" t="s">
        <v>6</v>
      </c>
      <c r="E272" s="103"/>
      <c r="F272" s="104">
        <v>52</v>
      </c>
      <c r="G272" s="105"/>
      <c r="H272" s="11">
        <v>577</v>
      </c>
      <c r="I272" s="7" t="s">
        <v>545</v>
      </c>
      <c r="J272" s="7" t="s">
        <v>6</v>
      </c>
      <c r="K272" s="9">
        <v>29</v>
      </c>
    </row>
    <row r="273" spans="1:11" ht="16.5" customHeight="1" x14ac:dyDescent="0.2">
      <c r="A273" s="6">
        <v>526</v>
      </c>
      <c r="B273" s="102" t="s">
        <v>546</v>
      </c>
      <c r="C273" s="103"/>
      <c r="D273" s="102" t="s">
        <v>3</v>
      </c>
      <c r="E273" s="103"/>
      <c r="F273" s="104">
        <v>180</v>
      </c>
      <c r="G273" s="105"/>
      <c r="H273" s="11">
        <v>578</v>
      </c>
      <c r="I273" s="7" t="s">
        <v>547</v>
      </c>
      <c r="J273" s="7" t="s">
        <v>6</v>
      </c>
      <c r="K273" s="9">
        <v>30.5</v>
      </c>
    </row>
    <row r="274" spans="1:11" ht="16.5" customHeight="1" x14ac:dyDescent="0.2">
      <c r="A274" s="6">
        <v>527</v>
      </c>
      <c r="B274" s="102" t="s">
        <v>548</v>
      </c>
      <c r="C274" s="103"/>
      <c r="D274" s="102" t="s">
        <v>6</v>
      </c>
      <c r="E274" s="103"/>
      <c r="F274" s="104">
        <v>122</v>
      </c>
      <c r="G274" s="105"/>
      <c r="H274" s="11">
        <v>579</v>
      </c>
      <c r="I274" s="7" t="s">
        <v>549</v>
      </c>
      <c r="J274" s="7" t="s">
        <v>6</v>
      </c>
      <c r="K274" s="9">
        <v>39</v>
      </c>
    </row>
    <row r="275" spans="1:11" ht="16.5" customHeight="1" x14ac:dyDescent="0.2">
      <c r="A275" s="6">
        <v>528</v>
      </c>
      <c r="B275" s="102" t="s">
        <v>550</v>
      </c>
      <c r="C275" s="103"/>
      <c r="D275" s="102" t="s">
        <v>6</v>
      </c>
      <c r="E275" s="103"/>
      <c r="F275" s="104">
        <v>43</v>
      </c>
      <c r="G275" s="105"/>
      <c r="H275" s="11">
        <v>580</v>
      </c>
      <c r="I275" s="7" t="s">
        <v>551</v>
      </c>
      <c r="J275" s="7" t="s">
        <v>3</v>
      </c>
      <c r="K275" s="9">
        <v>18</v>
      </c>
    </row>
    <row r="276" spans="1:11" ht="16.5" customHeight="1" x14ac:dyDescent="0.2">
      <c r="A276" s="6">
        <v>529</v>
      </c>
      <c r="B276" s="102" t="s">
        <v>552</v>
      </c>
      <c r="C276" s="103"/>
      <c r="D276" s="102" t="s">
        <v>6</v>
      </c>
      <c r="E276" s="103"/>
      <c r="F276" s="104">
        <v>48</v>
      </c>
      <c r="G276" s="105"/>
      <c r="H276" s="11">
        <v>581</v>
      </c>
      <c r="I276" s="7" t="s">
        <v>553</v>
      </c>
      <c r="J276" s="7" t="s">
        <v>6</v>
      </c>
      <c r="K276" s="9">
        <v>20</v>
      </c>
    </row>
    <row r="277" spans="1:11" ht="16.5" customHeight="1" x14ac:dyDescent="0.2">
      <c r="A277" s="6">
        <v>530</v>
      </c>
      <c r="B277" s="102" t="s">
        <v>554</v>
      </c>
      <c r="C277" s="103"/>
      <c r="D277" s="102" t="s">
        <v>6</v>
      </c>
      <c r="E277" s="103"/>
      <c r="F277" s="104">
        <v>42</v>
      </c>
      <c r="G277" s="105"/>
      <c r="H277" s="11">
        <v>582</v>
      </c>
      <c r="I277" s="7" t="s">
        <v>555</v>
      </c>
      <c r="J277" s="7" t="s">
        <v>6</v>
      </c>
      <c r="K277" s="9">
        <v>45</v>
      </c>
    </row>
    <row r="278" spans="1:11" ht="16.5" customHeight="1" x14ac:dyDescent="0.2">
      <c r="A278" s="6">
        <v>531</v>
      </c>
      <c r="B278" s="102" t="s">
        <v>556</v>
      </c>
      <c r="C278" s="103"/>
      <c r="D278" s="102" t="s">
        <v>6</v>
      </c>
      <c r="E278" s="103"/>
      <c r="F278" s="104">
        <v>44</v>
      </c>
      <c r="G278" s="105"/>
      <c r="H278" s="11">
        <v>583</v>
      </c>
      <c r="I278" s="7" t="s">
        <v>557</v>
      </c>
      <c r="J278" s="7" t="s">
        <v>6</v>
      </c>
      <c r="K278" s="9">
        <v>31</v>
      </c>
    </row>
    <row r="279" spans="1:11" ht="16.5" customHeight="1" x14ac:dyDescent="0.2">
      <c r="A279" s="6">
        <v>532</v>
      </c>
      <c r="B279" s="102" t="s">
        <v>558</v>
      </c>
      <c r="C279" s="103"/>
      <c r="D279" s="102" t="s">
        <v>6</v>
      </c>
      <c r="E279" s="103"/>
      <c r="F279" s="104">
        <v>39</v>
      </c>
      <c r="G279" s="105"/>
      <c r="H279" s="11">
        <v>584</v>
      </c>
      <c r="I279" s="7" t="s">
        <v>559</v>
      </c>
      <c r="J279" s="7" t="s">
        <v>3</v>
      </c>
      <c r="K279" s="9">
        <v>47</v>
      </c>
    </row>
    <row r="280" spans="1:11" ht="16.5" customHeight="1" x14ac:dyDescent="0.2">
      <c r="A280" s="6">
        <v>533</v>
      </c>
      <c r="B280" s="102" t="s">
        <v>560</v>
      </c>
      <c r="C280" s="103"/>
      <c r="D280" s="102" t="s">
        <v>37</v>
      </c>
      <c r="E280" s="103"/>
      <c r="F280" s="104">
        <v>154</v>
      </c>
      <c r="G280" s="105"/>
      <c r="H280" s="11">
        <v>585</v>
      </c>
      <c r="I280" s="7" t="s">
        <v>561</v>
      </c>
      <c r="J280" s="7" t="s">
        <v>6</v>
      </c>
      <c r="K280" s="9">
        <v>25</v>
      </c>
    </row>
    <row r="281" spans="1:11" ht="16.5" customHeight="1" x14ac:dyDescent="0.2">
      <c r="A281" s="12">
        <v>534</v>
      </c>
      <c r="B281" s="102" t="s">
        <v>562</v>
      </c>
      <c r="C281" s="103"/>
      <c r="D281" s="102" t="s">
        <v>6</v>
      </c>
      <c r="E281" s="103"/>
      <c r="F281" s="104">
        <v>258</v>
      </c>
      <c r="G281" s="105"/>
      <c r="H281" s="13">
        <v>586</v>
      </c>
      <c r="I281" s="7" t="s">
        <v>563</v>
      </c>
      <c r="J281" s="7" t="s">
        <v>6</v>
      </c>
      <c r="K281" s="9">
        <v>50</v>
      </c>
    </row>
    <row r="282" spans="1:11" ht="16.5" customHeight="1" x14ac:dyDescent="0.2">
      <c r="A282" s="6">
        <v>535</v>
      </c>
      <c r="B282" s="102" t="s">
        <v>564</v>
      </c>
      <c r="C282" s="103"/>
      <c r="D282" s="102" t="s">
        <v>6</v>
      </c>
      <c r="E282" s="103"/>
      <c r="F282" s="104">
        <v>147</v>
      </c>
      <c r="G282" s="105"/>
      <c r="H282" s="11">
        <v>587</v>
      </c>
      <c r="I282" s="7" t="s">
        <v>565</v>
      </c>
      <c r="J282" s="7" t="s">
        <v>6</v>
      </c>
      <c r="K282" s="9">
        <v>21.5</v>
      </c>
    </row>
    <row r="283" spans="1:11" ht="16.5" customHeight="1" x14ac:dyDescent="0.2">
      <c r="A283" s="12">
        <v>536</v>
      </c>
      <c r="B283" s="102" t="s">
        <v>566</v>
      </c>
      <c r="C283" s="103"/>
      <c r="D283" s="102" t="s">
        <v>6</v>
      </c>
      <c r="E283" s="103"/>
      <c r="F283" s="104">
        <v>3.8</v>
      </c>
      <c r="G283" s="105"/>
      <c r="H283" s="13">
        <v>588</v>
      </c>
      <c r="I283" s="7" t="s">
        <v>567</v>
      </c>
      <c r="J283" s="7" t="s">
        <v>6</v>
      </c>
      <c r="K283" s="9">
        <v>32</v>
      </c>
    </row>
    <row r="284" spans="1:11" ht="16.5" customHeight="1" x14ac:dyDescent="0.2">
      <c r="A284" s="6">
        <v>537</v>
      </c>
      <c r="B284" s="102" t="s">
        <v>568</v>
      </c>
      <c r="C284" s="103"/>
      <c r="D284" s="102" t="s">
        <v>3</v>
      </c>
      <c r="E284" s="103"/>
      <c r="F284" s="104">
        <v>5.5</v>
      </c>
      <c r="G284" s="105"/>
      <c r="H284" s="11">
        <v>589</v>
      </c>
      <c r="I284" s="7" t="s">
        <v>569</v>
      </c>
      <c r="J284" s="7" t="s">
        <v>6</v>
      </c>
      <c r="K284" s="9">
        <v>56</v>
      </c>
    </row>
    <row r="285" spans="1:11" ht="16.5" customHeight="1" x14ac:dyDescent="0.2">
      <c r="A285" s="12">
        <v>538</v>
      </c>
      <c r="B285" s="102" t="s">
        <v>570</v>
      </c>
      <c r="C285" s="103"/>
      <c r="D285" s="102" t="s">
        <v>6</v>
      </c>
      <c r="E285" s="103"/>
      <c r="F285" s="104">
        <v>30</v>
      </c>
      <c r="G285" s="105"/>
      <c r="H285" s="13">
        <v>590</v>
      </c>
      <c r="I285" s="7" t="s">
        <v>571</v>
      </c>
      <c r="J285" s="7" t="s">
        <v>6</v>
      </c>
      <c r="K285" s="9">
        <v>39</v>
      </c>
    </row>
    <row r="286" spans="1:11" ht="16.5" customHeight="1" x14ac:dyDescent="0.2">
      <c r="A286" s="6">
        <v>539</v>
      </c>
      <c r="B286" s="102" t="s">
        <v>572</v>
      </c>
      <c r="C286" s="103"/>
      <c r="D286" s="102" t="s">
        <v>6</v>
      </c>
      <c r="E286" s="103"/>
      <c r="F286" s="104">
        <v>70</v>
      </c>
      <c r="G286" s="105"/>
      <c r="H286" s="11">
        <v>591</v>
      </c>
      <c r="I286" s="7" t="s">
        <v>573</v>
      </c>
      <c r="J286" s="7" t="s">
        <v>6</v>
      </c>
      <c r="K286" s="9">
        <v>47</v>
      </c>
    </row>
    <row r="287" spans="1:11" ht="16.5" customHeight="1" x14ac:dyDescent="0.2">
      <c r="A287" s="12">
        <v>540</v>
      </c>
      <c r="B287" s="102" t="s">
        <v>574</v>
      </c>
      <c r="C287" s="103"/>
      <c r="D287" s="102" t="s">
        <v>6</v>
      </c>
      <c r="E287" s="103"/>
      <c r="F287" s="104">
        <v>262</v>
      </c>
      <c r="G287" s="105"/>
      <c r="H287" s="13">
        <v>592</v>
      </c>
      <c r="I287" s="7" t="s">
        <v>575</v>
      </c>
      <c r="J287" s="7" t="s">
        <v>6</v>
      </c>
      <c r="K287" s="9">
        <v>22.5</v>
      </c>
    </row>
    <row r="288" spans="1:11" ht="16.5" customHeight="1" x14ac:dyDescent="0.2">
      <c r="A288" s="6">
        <v>541</v>
      </c>
      <c r="B288" s="102" t="s">
        <v>576</v>
      </c>
      <c r="C288" s="103"/>
      <c r="D288" s="102" t="s">
        <v>6</v>
      </c>
      <c r="E288" s="103"/>
      <c r="F288" s="104">
        <v>43</v>
      </c>
      <c r="G288" s="105"/>
      <c r="H288" s="11">
        <v>593</v>
      </c>
      <c r="I288" s="7" t="s">
        <v>577</v>
      </c>
      <c r="J288" s="7" t="s">
        <v>6</v>
      </c>
      <c r="K288" s="9">
        <v>25</v>
      </c>
    </row>
    <row r="289" spans="1:11" ht="16.5" customHeight="1" x14ac:dyDescent="0.2">
      <c r="A289" s="12">
        <v>542</v>
      </c>
      <c r="B289" s="102" t="s">
        <v>578</v>
      </c>
      <c r="C289" s="103"/>
      <c r="D289" s="102" t="s">
        <v>6</v>
      </c>
      <c r="E289" s="103"/>
      <c r="F289" s="104">
        <v>25.5</v>
      </c>
      <c r="G289" s="105"/>
      <c r="H289" s="13">
        <v>594</v>
      </c>
      <c r="I289" s="7" t="s">
        <v>579</v>
      </c>
      <c r="J289" s="7" t="s">
        <v>6</v>
      </c>
      <c r="K289" s="9">
        <v>165</v>
      </c>
    </row>
    <row r="290" spans="1:11" ht="16.5" customHeight="1" x14ac:dyDescent="0.2">
      <c r="A290" s="6">
        <v>543</v>
      </c>
      <c r="B290" s="102" t="s">
        <v>580</v>
      </c>
      <c r="C290" s="103"/>
      <c r="D290" s="102" t="s">
        <v>6</v>
      </c>
      <c r="E290" s="103"/>
      <c r="F290" s="104">
        <v>28</v>
      </c>
      <c r="G290" s="105"/>
      <c r="H290" s="11">
        <v>595</v>
      </c>
      <c r="I290" s="7" t="s">
        <v>581</v>
      </c>
      <c r="J290" s="7" t="s">
        <v>3</v>
      </c>
      <c r="K290" s="9">
        <v>210</v>
      </c>
    </row>
    <row r="291" spans="1:11" ht="16.5" customHeight="1" x14ac:dyDescent="0.2">
      <c r="A291" s="12">
        <v>544</v>
      </c>
      <c r="B291" s="102" t="s">
        <v>582</v>
      </c>
      <c r="C291" s="103"/>
      <c r="D291" s="102" t="s">
        <v>6</v>
      </c>
      <c r="E291" s="103"/>
      <c r="F291" s="104">
        <v>30</v>
      </c>
      <c r="G291" s="105"/>
      <c r="H291" s="13">
        <v>596</v>
      </c>
      <c r="I291" s="7" t="s">
        <v>583</v>
      </c>
      <c r="J291" s="7" t="s">
        <v>6</v>
      </c>
      <c r="K291" s="9">
        <v>18.5</v>
      </c>
    </row>
    <row r="292" spans="1:11" ht="16.5" customHeight="1" x14ac:dyDescent="0.2">
      <c r="A292" s="6">
        <v>545</v>
      </c>
      <c r="B292" s="102" t="s">
        <v>584</v>
      </c>
      <c r="C292" s="103"/>
      <c r="D292" s="102" t="s">
        <v>6</v>
      </c>
      <c r="E292" s="103"/>
      <c r="F292" s="104">
        <v>20</v>
      </c>
      <c r="G292" s="105"/>
      <c r="H292" s="11">
        <v>597</v>
      </c>
      <c r="I292" s="7" t="s">
        <v>585</v>
      </c>
      <c r="J292" s="7" t="s">
        <v>3</v>
      </c>
      <c r="K292" s="9">
        <v>77</v>
      </c>
    </row>
    <row r="293" spans="1:11" ht="16.5" customHeight="1" x14ac:dyDescent="0.2">
      <c r="A293" s="12">
        <v>546</v>
      </c>
      <c r="B293" s="102" t="s">
        <v>586</v>
      </c>
      <c r="C293" s="103"/>
      <c r="D293" s="102" t="s">
        <v>6</v>
      </c>
      <c r="E293" s="103"/>
      <c r="F293" s="104">
        <v>39</v>
      </c>
      <c r="G293" s="105"/>
      <c r="H293" s="13">
        <v>598</v>
      </c>
      <c r="I293" s="7" t="s">
        <v>587</v>
      </c>
      <c r="J293" s="7" t="s">
        <v>37</v>
      </c>
      <c r="K293" s="9">
        <v>138</v>
      </c>
    </row>
    <row r="294" spans="1:11" ht="16.5" customHeight="1" x14ac:dyDescent="0.2">
      <c r="A294" s="6">
        <v>547</v>
      </c>
      <c r="B294" s="102" t="s">
        <v>588</v>
      </c>
      <c r="C294" s="103"/>
      <c r="D294" s="102" t="s">
        <v>6</v>
      </c>
      <c r="E294" s="103"/>
      <c r="F294" s="104">
        <v>105</v>
      </c>
      <c r="G294" s="105"/>
      <c r="H294" s="11">
        <v>599</v>
      </c>
      <c r="I294" s="7" t="s">
        <v>589</v>
      </c>
      <c r="J294" s="7" t="s">
        <v>6</v>
      </c>
      <c r="K294" s="9">
        <v>91</v>
      </c>
    </row>
    <row r="295" spans="1:11" ht="16.5" customHeight="1" x14ac:dyDescent="0.2">
      <c r="A295" s="12">
        <v>548</v>
      </c>
      <c r="B295" s="102" t="s">
        <v>590</v>
      </c>
      <c r="C295" s="103"/>
      <c r="D295" s="102" t="s">
        <v>6</v>
      </c>
      <c r="E295" s="103"/>
      <c r="F295" s="104">
        <v>153</v>
      </c>
      <c r="G295" s="105"/>
      <c r="H295" s="13">
        <v>600</v>
      </c>
      <c r="I295" s="7" t="s">
        <v>591</v>
      </c>
      <c r="J295" s="7" t="s">
        <v>6</v>
      </c>
      <c r="K295" s="9">
        <v>51</v>
      </c>
    </row>
    <row r="296" spans="1:11" ht="16.5" customHeight="1" x14ac:dyDescent="0.2">
      <c r="A296" s="6">
        <v>549</v>
      </c>
      <c r="B296" s="102" t="s">
        <v>592</v>
      </c>
      <c r="C296" s="103"/>
      <c r="D296" s="102" t="s">
        <v>6</v>
      </c>
      <c r="E296" s="103"/>
      <c r="F296" s="104">
        <v>153</v>
      </c>
      <c r="G296" s="105"/>
      <c r="H296" s="11">
        <v>601</v>
      </c>
      <c r="I296" s="7" t="s">
        <v>593</v>
      </c>
      <c r="J296" s="7" t="s">
        <v>3</v>
      </c>
      <c r="K296" s="9">
        <v>50</v>
      </c>
    </row>
    <row r="297" spans="1:11" ht="16.5" customHeight="1" x14ac:dyDescent="0.2">
      <c r="A297" s="12">
        <v>550</v>
      </c>
      <c r="B297" s="102" t="s">
        <v>594</v>
      </c>
      <c r="C297" s="103"/>
      <c r="D297" s="102" t="s">
        <v>3</v>
      </c>
      <c r="E297" s="103"/>
      <c r="F297" s="104">
        <v>44</v>
      </c>
      <c r="G297" s="105"/>
      <c r="H297" s="13">
        <v>602</v>
      </c>
      <c r="I297" s="7" t="s">
        <v>595</v>
      </c>
      <c r="J297" s="7" t="s">
        <v>6</v>
      </c>
      <c r="K297" s="9">
        <v>40</v>
      </c>
    </row>
    <row r="298" spans="1:11" ht="16.5" customHeight="1" x14ac:dyDescent="0.2">
      <c r="A298" s="6">
        <v>551</v>
      </c>
      <c r="B298" s="102" t="s">
        <v>596</v>
      </c>
      <c r="C298" s="103"/>
      <c r="D298" s="102" t="s">
        <v>3</v>
      </c>
      <c r="E298" s="103"/>
      <c r="F298" s="104">
        <v>47</v>
      </c>
      <c r="G298" s="105"/>
      <c r="H298" s="11">
        <v>603</v>
      </c>
      <c r="I298" s="7" t="s">
        <v>597</v>
      </c>
      <c r="J298" s="7" t="s">
        <v>6</v>
      </c>
      <c r="K298" s="9">
        <v>80</v>
      </c>
    </row>
    <row r="299" spans="1:11" ht="16.5" customHeight="1" x14ac:dyDescent="0.2">
      <c r="A299" s="12">
        <v>552</v>
      </c>
      <c r="B299" s="102" t="s">
        <v>598</v>
      </c>
      <c r="C299" s="103"/>
      <c r="D299" s="102" t="s">
        <v>6</v>
      </c>
      <c r="E299" s="103"/>
      <c r="F299" s="104">
        <v>26</v>
      </c>
      <c r="G299" s="105"/>
      <c r="H299" s="13">
        <v>604</v>
      </c>
      <c r="I299" s="7" t="s">
        <v>599</v>
      </c>
      <c r="J299" s="18" t="s">
        <v>600</v>
      </c>
      <c r="K299" s="9">
        <v>20</v>
      </c>
    </row>
    <row r="300" spans="1:11" ht="16.5" customHeight="1" x14ac:dyDescent="0.2">
      <c r="A300" s="6">
        <v>553</v>
      </c>
      <c r="B300" s="102" t="s">
        <v>601</v>
      </c>
      <c r="C300" s="103"/>
      <c r="D300" s="102" t="s">
        <v>12</v>
      </c>
      <c r="E300" s="103"/>
      <c r="F300" s="104">
        <v>18</v>
      </c>
      <c r="G300" s="105"/>
      <c r="H300" s="11">
        <v>605</v>
      </c>
      <c r="I300" s="7" t="s">
        <v>602</v>
      </c>
      <c r="J300" s="7" t="s">
        <v>6</v>
      </c>
      <c r="K300" s="9">
        <v>103</v>
      </c>
    </row>
    <row r="301" spans="1:11" ht="16.5" customHeight="1" x14ac:dyDescent="0.2">
      <c r="A301" s="12">
        <v>554</v>
      </c>
      <c r="B301" s="102" t="s">
        <v>603</v>
      </c>
      <c r="C301" s="103"/>
      <c r="D301" s="102" t="s">
        <v>101</v>
      </c>
      <c r="E301" s="103"/>
      <c r="F301" s="104">
        <v>155</v>
      </c>
      <c r="G301" s="105"/>
      <c r="H301" s="13">
        <v>606</v>
      </c>
      <c r="I301" s="7" t="s">
        <v>604</v>
      </c>
      <c r="J301" s="7" t="s">
        <v>605</v>
      </c>
      <c r="K301" s="9">
        <v>78</v>
      </c>
    </row>
    <row r="302" spans="1:11" ht="16.5" customHeight="1" x14ac:dyDescent="0.2">
      <c r="A302" s="6">
        <v>555</v>
      </c>
      <c r="B302" s="102" t="s">
        <v>606</v>
      </c>
      <c r="C302" s="103"/>
      <c r="D302" s="102" t="s">
        <v>6</v>
      </c>
      <c r="E302" s="103"/>
      <c r="F302" s="104">
        <v>285</v>
      </c>
      <c r="G302" s="105"/>
      <c r="H302" s="11">
        <v>607</v>
      </c>
      <c r="I302" s="7" t="s">
        <v>607</v>
      </c>
      <c r="J302" s="7" t="s">
        <v>608</v>
      </c>
      <c r="K302" s="9">
        <v>22</v>
      </c>
    </row>
    <row r="303" spans="1:11" ht="16.5" customHeight="1" x14ac:dyDescent="0.2">
      <c r="A303" s="12">
        <v>556</v>
      </c>
      <c r="B303" s="102" t="s">
        <v>609</v>
      </c>
      <c r="C303" s="103"/>
      <c r="D303" s="102" t="s">
        <v>3</v>
      </c>
      <c r="E303" s="103"/>
      <c r="F303" s="104">
        <v>32</v>
      </c>
      <c r="G303" s="105"/>
      <c r="H303" s="13">
        <v>608</v>
      </c>
      <c r="I303" s="7" t="s">
        <v>610</v>
      </c>
      <c r="J303" s="7" t="s">
        <v>3</v>
      </c>
      <c r="K303" s="9">
        <v>30</v>
      </c>
    </row>
    <row r="304" spans="1:11" ht="16.5" customHeight="1" x14ac:dyDescent="0.2">
      <c r="A304" s="6">
        <v>557</v>
      </c>
      <c r="B304" s="102" t="s">
        <v>611</v>
      </c>
      <c r="C304" s="103"/>
      <c r="D304" s="102" t="s">
        <v>6</v>
      </c>
      <c r="E304" s="103"/>
      <c r="F304" s="104">
        <v>135</v>
      </c>
      <c r="G304" s="105"/>
      <c r="H304" s="11">
        <v>609</v>
      </c>
      <c r="I304" s="7" t="s">
        <v>612</v>
      </c>
      <c r="J304" s="7" t="s">
        <v>3</v>
      </c>
      <c r="K304" s="9">
        <v>34.5</v>
      </c>
    </row>
    <row r="305" spans="1:11" ht="16.5" customHeight="1" x14ac:dyDescent="0.2">
      <c r="A305" s="12">
        <v>558</v>
      </c>
      <c r="B305" s="102" t="s">
        <v>613</v>
      </c>
      <c r="C305" s="103"/>
      <c r="D305" s="102" t="s">
        <v>12</v>
      </c>
      <c r="E305" s="103"/>
      <c r="F305" s="104">
        <v>7.4</v>
      </c>
      <c r="G305" s="105"/>
      <c r="H305" s="13">
        <v>610</v>
      </c>
      <c r="I305" s="7" t="s">
        <v>614</v>
      </c>
      <c r="J305" s="7" t="s">
        <v>3</v>
      </c>
      <c r="K305" s="9">
        <v>27</v>
      </c>
    </row>
    <row r="306" spans="1:11" ht="16.5" customHeight="1" x14ac:dyDescent="0.2">
      <c r="A306" s="6">
        <v>559</v>
      </c>
      <c r="B306" s="102" t="s">
        <v>615</v>
      </c>
      <c r="C306" s="103"/>
      <c r="D306" s="102" t="s">
        <v>6</v>
      </c>
      <c r="E306" s="103"/>
      <c r="F306" s="104">
        <v>31</v>
      </c>
      <c r="G306" s="105"/>
      <c r="H306" s="11">
        <v>611</v>
      </c>
      <c r="I306" s="7" t="s">
        <v>616</v>
      </c>
      <c r="J306" s="7" t="s">
        <v>3</v>
      </c>
      <c r="K306" s="9">
        <v>25</v>
      </c>
    </row>
    <row r="307" spans="1:11" ht="16.5" customHeight="1" x14ac:dyDescent="0.2">
      <c r="A307" s="12">
        <v>560</v>
      </c>
      <c r="B307" s="102" t="s">
        <v>617</v>
      </c>
      <c r="C307" s="103"/>
      <c r="D307" s="102" t="s">
        <v>6</v>
      </c>
      <c r="E307" s="103"/>
      <c r="F307" s="104">
        <v>190</v>
      </c>
      <c r="G307" s="105"/>
      <c r="H307" s="13">
        <v>612</v>
      </c>
      <c r="I307" s="7" t="s">
        <v>618</v>
      </c>
      <c r="J307" s="7" t="s">
        <v>3</v>
      </c>
      <c r="K307" s="9">
        <v>30</v>
      </c>
    </row>
    <row r="308" spans="1:11" ht="16.5" customHeight="1" x14ac:dyDescent="0.2">
      <c r="A308" s="6">
        <v>561</v>
      </c>
      <c r="B308" s="102" t="s">
        <v>619</v>
      </c>
      <c r="C308" s="103"/>
      <c r="D308" s="102" t="s">
        <v>6</v>
      </c>
      <c r="E308" s="103"/>
      <c r="F308" s="104">
        <v>28</v>
      </c>
      <c r="G308" s="105"/>
      <c r="H308" s="11">
        <v>613</v>
      </c>
      <c r="I308" s="7" t="s">
        <v>620</v>
      </c>
      <c r="J308" s="7" t="s">
        <v>6</v>
      </c>
      <c r="K308" s="9">
        <v>152</v>
      </c>
    </row>
    <row r="309" spans="1:11" ht="16.5" customHeight="1" x14ac:dyDescent="0.2">
      <c r="A309" s="12">
        <v>562</v>
      </c>
      <c r="B309" s="102" t="s">
        <v>621</v>
      </c>
      <c r="C309" s="103"/>
      <c r="D309" s="102" t="s">
        <v>3</v>
      </c>
      <c r="E309" s="103"/>
      <c r="F309" s="104">
        <v>11.8</v>
      </c>
      <c r="G309" s="105"/>
      <c r="H309" s="13">
        <v>614</v>
      </c>
      <c r="I309" s="7" t="s">
        <v>622</v>
      </c>
      <c r="J309" s="7" t="s">
        <v>3</v>
      </c>
      <c r="K309" s="9">
        <v>25.8</v>
      </c>
    </row>
    <row r="310" spans="1:11" ht="16.5" customHeight="1" x14ac:dyDescent="0.2">
      <c r="A310" s="6">
        <v>563</v>
      </c>
      <c r="B310" s="102" t="s">
        <v>623</v>
      </c>
      <c r="C310" s="103"/>
      <c r="D310" s="102" t="s">
        <v>3</v>
      </c>
      <c r="E310" s="103"/>
      <c r="F310" s="104">
        <v>19.600000000000001</v>
      </c>
      <c r="G310" s="105"/>
      <c r="H310" s="11">
        <v>615</v>
      </c>
      <c r="I310" s="7" t="s">
        <v>624</v>
      </c>
      <c r="J310" s="7" t="s">
        <v>6</v>
      </c>
      <c r="K310" s="9">
        <v>152</v>
      </c>
    </row>
    <row r="311" spans="1:11" ht="16.5" customHeight="1" x14ac:dyDescent="0.2">
      <c r="A311" s="12">
        <v>564</v>
      </c>
      <c r="B311" s="102" t="s">
        <v>625</v>
      </c>
      <c r="C311" s="103"/>
      <c r="D311" s="102" t="s">
        <v>3</v>
      </c>
      <c r="E311" s="103"/>
      <c r="F311" s="104">
        <v>5.5</v>
      </c>
      <c r="G311" s="105"/>
      <c r="H311" s="13">
        <v>616</v>
      </c>
      <c r="I311" s="7" t="s">
        <v>626</v>
      </c>
      <c r="J311" s="7" t="s">
        <v>6</v>
      </c>
      <c r="K311" s="9">
        <v>121</v>
      </c>
    </row>
    <row r="312" spans="1:11" ht="16.5" customHeight="1" x14ac:dyDescent="0.2">
      <c r="A312" s="6">
        <v>565</v>
      </c>
      <c r="B312" s="102" t="s">
        <v>627</v>
      </c>
      <c r="C312" s="103"/>
      <c r="D312" s="102" t="s">
        <v>6</v>
      </c>
      <c r="E312" s="103"/>
      <c r="F312" s="104">
        <v>18</v>
      </c>
      <c r="G312" s="105"/>
      <c r="H312" s="11">
        <v>617</v>
      </c>
      <c r="I312" s="7" t="s">
        <v>628</v>
      </c>
      <c r="J312" s="7" t="s">
        <v>6</v>
      </c>
      <c r="K312" s="9">
        <v>152</v>
      </c>
    </row>
    <row r="313" spans="1:11" ht="16.5" customHeight="1" x14ac:dyDescent="0.2">
      <c r="A313" s="12">
        <v>566</v>
      </c>
      <c r="B313" s="102" t="s">
        <v>629</v>
      </c>
      <c r="C313" s="103"/>
      <c r="D313" s="102" t="s">
        <v>6</v>
      </c>
      <c r="E313" s="103"/>
      <c r="F313" s="104">
        <v>93</v>
      </c>
      <c r="G313" s="105"/>
      <c r="H313" s="13">
        <v>618</v>
      </c>
      <c r="I313" s="7" t="s">
        <v>630</v>
      </c>
      <c r="J313" s="7" t="s">
        <v>6</v>
      </c>
      <c r="K313" s="9">
        <v>200</v>
      </c>
    </row>
    <row r="314" spans="1:11" ht="16.5" customHeight="1" x14ac:dyDescent="0.2">
      <c r="A314" s="6">
        <v>567</v>
      </c>
      <c r="B314" s="102" t="s">
        <v>631</v>
      </c>
      <c r="C314" s="103"/>
      <c r="D314" s="102" t="s">
        <v>6</v>
      </c>
      <c r="E314" s="103"/>
      <c r="F314" s="104">
        <v>39</v>
      </c>
      <c r="G314" s="105"/>
      <c r="H314" s="11">
        <v>619</v>
      </c>
      <c r="I314" s="7" t="s">
        <v>632</v>
      </c>
      <c r="J314" s="7" t="s">
        <v>6</v>
      </c>
      <c r="K314" s="9">
        <v>87</v>
      </c>
    </row>
    <row r="315" spans="1:11" ht="16.5" customHeight="1" x14ac:dyDescent="0.2">
      <c r="A315" s="12">
        <v>568</v>
      </c>
      <c r="B315" s="102" t="s">
        <v>633</v>
      </c>
      <c r="C315" s="103"/>
      <c r="D315" s="102" t="s">
        <v>6</v>
      </c>
      <c r="E315" s="103"/>
      <c r="F315" s="104">
        <v>37</v>
      </c>
      <c r="G315" s="105"/>
      <c r="H315" s="13">
        <v>620</v>
      </c>
      <c r="I315" s="7" t="s">
        <v>634</v>
      </c>
      <c r="J315" s="7" t="s">
        <v>6</v>
      </c>
      <c r="K315" s="9">
        <v>20</v>
      </c>
    </row>
    <row r="316" spans="1:11" ht="16.5" customHeight="1" x14ac:dyDescent="0.2">
      <c r="A316" s="6">
        <v>569</v>
      </c>
      <c r="B316" s="102" t="s">
        <v>635</v>
      </c>
      <c r="C316" s="103"/>
      <c r="D316" s="102" t="s">
        <v>3</v>
      </c>
      <c r="E316" s="103"/>
      <c r="F316" s="104">
        <v>76</v>
      </c>
      <c r="G316" s="105"/>
      <c r="H316" s="11">
        <v>621</v>
      </c>
      <c r="I316" s="7" t="s">
        <v>636</v>
      </c>
      <c r="J316" s="7" t="s">
        <v>6</v>
      </c>
      <c r="K316" s="9">
        <v>35</v>
      </c>
    </row>
    <row r="317" spans="1:11" ht="16.5" customHeight="1" x14ac:dyDescent="0.2">
      <c r="A317" s="12">
        <v>570</v>
      </c>
      <c r="B317" s="102" t="s">
        <v>637</v>
      </c>
      <c r="C317" s="103"/>
      <c r="D317" s="102" t="s">
        <v>6</v>
      </c>
      <c r="E317" s="103"/>
      <c r="F317" s="104">
        <v>74</v>
      </c>
      <c r="G317" s="105"/>
      <c r="H317" s="13">
        <v>622</v>
      </c>
      <c r="I317" s="7" t="s">
        <v>638</v>
      </c>
      <c r="J317" s="7" t="s">
        <v>6</v>
      </c>
      <c r="K317" s="9">
        <v>37</v>
      </c>
    </row>
    <row r="318" spans="1:11" ht="16.5" customHeight="1" x14ac:dyDescent="0.2">
      <c r="A318" s="6">
        <v>571</v>
      </c>
      <c r="B318" s="102" t="s">
        <v>639</v>
      </c>
      <c r="C318" s="103"/>
      <c r="D318" s="102" t="s">
        <v>6</v>
      </c>
      <c r="E318" s="103"/>
      <c r="F318" s="104">
        <v>54</v>
      </c>
      <c r="G318" s="105"/>
      <c r="H318" s="11">
        <v>623</v>
      </c>
      <c r="I318" s="7" t="s">
        <v>640</v>
      </c>
      <c r="J318" s="7" t="s">
        <v>3</v>
      </c>
      <c r="K318" s="9">
        <v>43</v>
      </c>
    </row>
    <row r="319" spans="1:11" ht="16.5" customHeight="1" x14ac:dyDescent="0.2">
      <c r="A319" s="14">
        <v>572</v>
      </c>
      <c r="B319" s="102" t="s">
        <v>641</v>
      </c>
      <c r="C319" s="103"/>
      <c r="D319" s="102" t="s">
        <v>323</v>
      </c>
      <c r="E319" s="103"/>
      <c r="F319" s="106">
        <v>24</v>
      </c>
      <c r="G319" s="107"/>
      <c r="H319" s="17">
        <v>624</v>
      </c>
      <c r="I319" s="7" t="s">
        <v>642</v>
      </c>
      <c r="J319" s="7" t="s">
        <v>323</v>
      </c>
      <c r="K319" s="15">
        <v>10.5</v>
      </c>
    </row>
    <row r="320" spans="1:11" ht="14.25" customHeight="1" x14ac:dyDescent="0.2">
      <c r="A320" s="1"/>
      <c r="B320" s="97" t="s">
        <v>1</v>
      </c>
      <c r="C320" s="98"/>
      <c r="D320" s="99"/>
      <c r="E320" s="100"/>
      <c r="F320" s="99"/>
      <c r="G320" s="100"/>
      <c r="H320" s="4"/>
      <c r="I320" s="2" t="s">
        <v>1</v>
      </c>
      <c r="J320" s="3"/>
      <c r="K320" s="3"/>
    </row>
    <row r="321" spans="1:11" ht="16.5" customHeight="1" x14ac:dyDescent="0.2">
      <c r="A321" s="6">
        <v>625</v>
      </c>
      <c r="B321" s="102" t="s">
        <v>643</v>
      </c>
      <c r="C321" s="103"/>
      <c r="D321" s="102" t="s">
        <v>6</v>
      </c>
      <c r="E321" s="103"/>
      <c r="F321" s="104">
        <v>40</v>
      </c>
      <c r="G321" s="105"/>
      <c r="H321" s="11">
        <v>677</v>
      </c>
      <c r="I321" s="7" t="s">
        <v>644</v>
      </c>
      <c r="J321" s="19" t="s">
        <v>6</v>
      </c>
      <c r="K321" s="9">
        <v>35</v>
      </c>
    </row>
    <row r="322" spans="1:11" ht="16.5" customHeight="1" x14ac:dyDescent="0.2">
      <c r="A322" s="6">
        <v>626</v>
      </c>
      <c r="B322" s="102" t="s">
        <v>645</v>
      </c>
      <c r="C322" s="103"/>
      <c r="D322" s="102" t="s">
        <v>6</v>
      </c>
      <c r="E322" s="103"/>
      <c r="F322" s="104">
        <v>42</v>
      </c>
      <c r="G322" s="105"/>
      <c r="H322" s="11">
        <v>678</v>
      </c>
      <c r="I322" s="7" t="s">
        <v>646</v>
      </c>
      <c r="J322" s="19" t="s">
        <v>6</v>
      </c>
      <c r="K322" s="9">
        <v>145</v>
      </c>
    </row>
    <row r="323" spans="1:11" ht="16.5" customHeight="1" x14ac:dyDescent="0.2">
      <c r="A323" s="6">
        <v>627</v>
      </c>
      <c r="B323" s="102" t="s">
        <v>647</v>
      </c>
      <c r="C323" s="103"/>
      <c r="D323" s="102" t="s">
        <v>6</v>
      </c>
      <c r="E323" s="103"/>
      <c r="F323" s="104">
        <v>53</v>
      </c>
      <c r="G323" s="105"/>
      <c r="H323" s="11">
        <v>679</v>
      </c>
      <c r="I323" s="7" t="s">
        <v>648</v>
      </c>
      <c r="J323" s="19" t="s">
        <v>3</v>
      </c>
      <c r="K323" s="9">
        <v>51</v>
      </c>
    </row>
    <row r="324" spans="1:11" ht="16.5" customHeight="1" x14ac:dyDescent="0.2">
      <c r="A324" s="6">
        <v>628</v>
      </c>
      <c r="B324" s="102" t="s">
        <v>649</v>
      </c>
      <c r="C324" s="103"/>
      <c r="D324" s="102" t="s">
        <v>6</v>
      </c>
      <c r="E324" s="103"/>
      <c r="F324" s="104">
        <v>62</v>
      </c>
      <c r="G324" s="105"/>
      <c r="H324" s="11">
        <v>680</v>
      </c>
      <c r="I324" s="7" t="s">
        <v>650</v>
      </c>
      <c r="J324" s="19" t="s">
        <v>6</v>
      </c>
      <c r="K324" s="9">
        <v>190</v>
      </c>
    </row>
    <row r="325" spans="1:11" ht="16.5" customHeight="1" x14ac:dyDescent="0.2">
      <c r="A325" s="6">
        <v>629</v>
      </c>
      <c r="B325" s="102" t="s">
        <v>651</v>
      </c>
      <c r="C325" s="103"/>
      <c r="D325" s="102" t="s">
        <v>6</v>
      </c>
      <c r="E325" s="103"/>
      <c r="F325" s="104">
        <v>190</v>
      </c>
      <c r="G325" s="105"/>
      <c r="H325" s="11">
        <v>681</v>
      </c>
      <c r="I325" s="7" t="s">
        <v>652</v>
      </c>
      <c r="J325" s="19" t="s">
        <v>6</v>
      </c>
      <c r="K325" s="9">
        <v>190</v>
      </c>
    </row>
    <row r="326" spans="1:11" ht="16.5" customHeight="1" x14ac:dyDescent="0.2">
      <c r="A326" s="6">
        <v>630</v>
      </c>
      <c r="B326" s="102" t="s">
        <v>653</v>
      </c>
      <c r="C326" s="103"/>
      <c r="D326" s="102" t="s">
        <v>6</v>
      </c>
      <c r="E326" s="103"/>
      <c r="F326" s="104">
        <v>212</v>
      </c>
      <c r="G326" s="105"/>
      <c r="H326" s="11">
        <v>682</v>
      </c>
      <c r="I326" s="7" t="s">
        <v>654</v>
      </c>
      <c r="J326" s="19" t="s">
        <v>3</v>
      </c>
      <c r="K326" s="9">
        <v>10</v>
      </c>
    </row>
    <row r="327" spans="1:11" ht="16.5" customHeight="1" x14ac:dyDescent="0.2">
      <c r="A327" s="6">
        <v>631</v>
      </c>
      <c r="B327" s="102" t="s">
        <v>655</v>
      </c>
      <c r="C327" s="103"/>
      <c r="D327" s="102" t="s">
        <v>6</v>
      </c>
      <c r="E327" s="103"/>
      <c r="F327" s="104">
        <v>18</v>
      </c>
      <c r="G327" s="105"/>
      <c r="H327" s="11">
        <v>683</v>
      </c>
      <c r="I327" s="7" t="s">
        <v>656</v>
      </c>
      <c r="J327" s="19" t="s">
        <v>3</v>
      </c>
      <c r="K327" s="9">
        <v>49</v>
      </c>
    </row>
    <row r="328" spans="1:11" ht="16.5" customHeight="1" x14ac:dyDescent="0.2">
      <c r="A328" s="6">
        <v>632</v>
      </c>
      <c r="B328" s="102" t="s">
        <v>657</v>
      </c>
      <c r="C328" s="103"/>
      <c r="D328" s="102" t="s">
        <v>3</v>
      </c>
      <c r="E328" s="103"/>
      <c r="F328" s="104">
        <v>61</v>
      </c>
      <c r="G328" s="105"/>
      <c r="H328" s="11">
        <v>684</v>
      </c>
      <c r="I328" s="7" t="s">
        <v>658</v>
      </c>
      <c r="J328" s="19" t="s">
        <v>3</v>
      </c>
      <c r="K328" s="9">
        <v>49</v>
      </c>
    </row>
    <row r="329" spans="1:11" ht="16.5" customHeight="1" x14ac:dyDescent="0.2">
      <c r="A329" s="6">
        <v>633</v>
      </c>
      <c r="B329" s="102" t="s">
        <v>659</v>
      </c>
      <c r="C329" s="103"/>
      <c r="D329" s="102" t="s">
        <v>3</v>
      </c>
      <c r="E329" s="103"/>
      <c r="F329" s="104">
        <v>50</v>
      </c>
      <c r="G329" s="105"/>
      <c r="H329" s="11">
        <v>685</v>
      </c>
      <c r="I329" s="7" t="s">
        <v>660</v>
      </c>
      <c r="J329" s="19" t="s">
        <v>3</v>
      </c>
      <c r="K329" s="9">
        <v>40</v>
      </c>
    </row>
    <row r="330" spans="1:11" ht="16.5" customHeight="1" x14ac:dyDescent="0.2">
      <c r="A330" s="6">
        <v>634</v>
      </c>
      <c r="B330" s="102" t="s">
        <v>661</v>
      </c>
      <c r="C330" s="103"/>
      <c r="D330" s="102" t="s">
        <v>6</v>
      </c>
      <c r="E330" s="103"/>
      <c r="F330" s="104">
        <v>186</v>
      </c>
      <c r="G330" s="105"/>
      <c r="H330" s="11">
        <v>686</v>
      </c>
      <c r="I330" s="7" t="s">
        <v>662</v>
      </c>
      <c r="J330" s="19" t="s">
        <v>6</v>
      </c>
      <c r="K330" s="9">
        <v>183</v>
      </c>
    </row>
    <row r="331" spans="1:11" ht="16.5" customHeight="1" x14ac:dyDescent="0.2">
      <c r="A331" s="6">
        <v>635</v>
      </c>
      <c r="B331" s="102" t="s">
        <v>663</v>
      </c>
      <c r="C331" s="103"/>
      <c r="D331" s="102" t="s">
        <v>6</v>
      </c>
      <c r="E331" s="103"/>
      <c r="F331" s="104">
        <v>190</v>
      </c>
      <c r="G331" s="105"/>
      <c r="H331" s="11">
        <v>687</v>
      </c>
      <c r="I331" s="7" t="s">
        <v>664</v>
      </c>
      <c r="J331" s="19" t="s">
        <v>6</v>
      </c>
      <c r="K331" s="9">
        <v>18</v>
      </c>
    </row>
    <row r="332" spans="1:11" ht="16.5" customHeight="1" x14ac:dyDescent="0.2">
      <c r="A332" s="6">
        <v>636</v>
      </c>
      <c r="B332" s="102" t="s">
        <v>665</v>
      </c>
      <c r="C332" s="103"/>
      <c r="D332" s="102" t="s">
        <v>6</v>
      </c>
      <c r="E332" s="103"/>
      <c r="F332" s="104">
        <v>195</v>
      </c>
      <c r="G332" s="105"/>
      <c r="H332" s="11">
        <v>688</v>
      </c>
      <c r="I332" s="7" t="s">
        <v>666</v>
      </c>
      <c r="J332" s="19" t="s">
        <v>6</v>
      </c>
      <c r="K332" s="9">
        <v>102</v>
      </c>
    </row>
    <row r="333" spans="1:11" ht="16.5" customHeight="1" x14ac:dyDescent="0.2">
      <c r="A333" s="6">
        <v>637</v>
      </c>
      <c r="B333" s="102" t="s">
        <v>667</v>
      </c>
      <c r="C333" s="103"/>
      <c r="D333" s="102" t="s">
        <v>6</v>
      </c>
      <c r="E333" s="103"/>
      <c r="F333" s="104">
        <v>4.7</v>
      </c>
      <c r="G333" s="105"/>
      <c r="H333" s="11">
        <v>689</v>
      </c>
      <c r="I333" s="7" t="s">
        <v>668</v>
      </c>
      <c r="J333" s="19" t="s">
        <v>6</v>
      </c>
      <c r="K333" s="9">
        <v>129</v>
      </c>
    </row>
    <row r="334" spans="1:11" ht="16.5" customHeight="1" x14ac:dyDescent="0.2">
      <c r="A334" s="12">
        <v>638</v>
      </c>
      <c r="B334" s="102" t="s">
        <v>669</v>
      </c>
      <c r="C334" s="103"/>
      <c r="D334" s="102" t="s">
        <v>3</v>
      </c>
      <c r="E334" s="103"/>
      <c r="F334" s="104">
        <v>45</v>
      </c>
      <c r="G334" s="105"/>
      <c r="H334" s="13">
        <v>690</v>
      </c>
      <c r="I334" s="7" t="s">
        <v>670</v>
      </c>
      <c r="J334" s="19" t="s">
        <v>6</v>
      </c>
      <c r="K334" s="9">
        <v>65</v>
      </c>
    </row>
    <row r="335" spans="1:11" ht="16.5" customHeight="1" x14ac:dyDescent="0.2">
      <c r="A335" s="6">
        <v>639</v>
      </c>
      <c r="B335" s="102" t="s">
        <v>671</v>
      </c>
      <c r="C335" s="103"/>
      <c r="D335" s="102" t="s">
        <v>6</v>
      </c>
      <c r="E335" s="103"/>
      <c r="F335" s="104">
        <v>190</v>
      </c>
      <c r="G335" s="105"/>
      <c r="H335" s="11">
        <v>691</v>
      </c>
      <c r="I335" s="7" t="s">
        <v>672</v>
      </c>
      <c r="J335" s="19" t="s">
        <v>6</v>
      </c>
      <c r="K335" s="9">
        <v>88</v>
      </c>
    </row>
    <row r="336" spans="1:11" ht="16.5" customHeight="1" x14ac:dyDescent="0.2">
      <c r="A336" s="12">
        <v>640</v>
      </c>
      <c r="B336" s="102" t="s">
        <v>673</v>
      </c>
      <c r="C336" s="103"/>
      <c r="D336" s="102" t="s">
        <v>3</v>
      </c>
      <c r="E336" s="103"/>
      <c r="F336" s="104">
        <v>20</v>
      </c>
      <c r="G336" s="105"/>
      <c r="H336" s="13">
        <v>692</v>
      </c>
      <c r="I336" s="7" t="s">
        <v>674</v>
      </c>
      <c r="J336" s="20" t="s">
        <v>45</v>
      </c>
      <c r="K336" s="9">
        <v>95</v>
      </c>
    </row>
    <row r="337" spans="1:11" ht="16.5" customHeight="1" x14ac:dyDescent="0.2">
      <c r="A337" s="6">
        <v>641</v>
      </c>
      <c r="B337" s="102" t="s">
        <v>675</v>
      </c>
      <c r="C337" s="103"/>
      <c r="D337" s="102" t="s">
        <v>6</v>
      </c>
      <c r="E337" s="103"/>
      <c r="F337" s="104">
        <v>89</v>
      </c>
      <c r="G337" s="105"/>
      <c r="H337" s="11">
        <v>693</v>
      </c>
      <c r="I337" s="7" t="s">
        <v>676</v>
      </c>
      <c r="J337" s="20" t="s">
        <v>45</v>
      </c>
      <c r="K337" s="9">
        <v>74</v>
      </c>
    </row>
    <row r="338" spans="1:11" ht="16.5" customHeight="1" x14ac:dyDescent="0.2">
      <c r="A338" s="12">
        <v>642</v>
      </c>
      <c r="B338" s="102" t="s">
        <v>677</v>
      </c>
      <c r="C338" s="103"/>
      <c r="D338" s="102" t="s">
        <v>6</v>
      </c>
      <c r="E338" s="103"/>
      <c r="F338" s="104">
        <v>48</v>
      </c>
      <c r="G338" s="105"/>
      <c r="H338" s="13">
        <v>694</v>
      </c>
      <c r="I338" s="7" t="s">
        <v>678</v>
      </c>
      <c r="J338" s="19" t="s">
        <v>3</v>
      </c>
      <c r="K338" s="9">
        <v>35.799999999999997</v>
      </c>
    </row>
    <row r="339" spans="1:11" ht="16.5" customHeight="1" x14ac:dyDescent="0.2">
      <c r="A339" s="6">
        <v>643</v>
      </c>
      <c r="B339" s="102" t="s">
        <v>679</v>
      </c>
      <c r="C339" s="103"/>
      <c r="D339" s="102" t="s">
        <v>6</v>
      </c>
      <c r="E339" s="103"/>
      <c r="F339" s="104">
        <v>39</v>
      </c>
      <c r="G339" s="105"/>
      <c r="H339" s="11">
        <v>695</v>
      </c>
      <c r="I339" s="7" t="s">
        <v>680</v>
      </c>
      <c r="J339" s="19" t="s">
        <v>6</v>
      </c>
      <c r="K339" s="9">
        <v>48</v>
      </c>
    </row>
    <row r="340" spans="1:11" ht="16.5" customHeight="1" x14ac:dyDescent="0.2">
      <c r="A340" s="12">
        <v>644</v>
      </c>
      <c r="B340" s="102" t="s">
        <v>681</v>
      </c>
      <c r="C340" s="103"/>
      <c r="D340" s="102" t="s">
        <v>3</v>
      </c>
      <c r="E340" s="103"/>
      <c r="F340" s="104">
        <v>54</v>
      </c>
      <c r="G340" s="105"/>
      <c r="H340" s="13">
        <v>696</v>
      </c>
      <c r="I340" s="7" t="s">
        <v>682</v>
      </c>
      <c r="J340" s="19" t="s">
        <v>6</v>
      </c>
      <c r="K340" s="9">
        <v>26</v>
      </c>
    </row>
    <row r="341" spans="1:11" ht="16.5" customHeight="1" x14ac:dyDescent="0.2">
      <c r="A341" s="6">
        <v>645</v>
      </c>
      <c r="B341" s="102" t="s">
        <v>683</v>
      </c>
      <c r="C341" s="103"/>
      <c r="D341" s="102" t="s">
        <v>3</v>
      </c>
      <c r="E341" s="103"/>
      <c r="F341" s="104">
        <v>36</v>
      </c>
      <c r="G341" s="105"/>
      <c r="H341" s="11">
        <v>697</v>
      </c>
      <c r="I341" s="7" t="s">
        <v>684</v>
      </c>
      <c r="J341" s="19" t="s">
        <v>6</v>
      </c>
      <c r="K341" s="9">
        <v>57</v>
      </c>
    </row>
    <row r="342" spans="1:11" ht="16.5" customHeight="1" x14ac:dyDescent="0.2">
      <c r="A342" s="12">
        <v>646</v>
      </c>
      <c r="B342" s="102" t="s">
        <v>685</v>
      </c>
      <c r="C342" s="103"/>
      <c r="D342" s="102" t="s">
        <v>6</v>
      </c>
      <c r="E342" s="103"/>
      <c r="F342" s="104">
        <v>43</v>
      </c>
      <c r="G342" s="105"/>
      <c r="H342" s="13">
        <v>698</v>
      </c>
      <c r="I342" s="7" t="s">
        <v>686</v>
      </c>
      <c r="J342" s="19" t="s">
        <v>3</v>
      </c>
      <c r="K342" s="9">
        <v>59.5</v>
      </c>
    </row>
    <row r="343" spans="1:11" ht="16.5" customHeight="1" x14ac:dyDescent="0.2">
      <c r="A343" s="6">
        <v>647</v>
      </c>
      <c r="B343" s="102" t="s">
        <v>687</v>
      </c>
      <c r="C343" s="103"/>
      <c r="D343" s="102" t="s">
        <v>37</v>
      </c>
      <c r="E343" s="103"/>
      <c r="F343" s="104">
        <v>86</v>
      </c>
      <c r="G343" s="105"/>
      <c r="H343" s="11">
        <v>699</v>
      </c>
      <c r="I343" s="7" t="s">
        <v>688</v>
      </c>
      <c r="J343" s="19" t="s">
        <v>3</v>
      </c>
      <c r="K343" s="9">
        <v>31.5</v>
      </c>
    </row>
    <row r="344" spans="1:11" ht="16.5" customHeight="1" x14ac:dyDescent="0.2">
      <c r="A344" s="12">
        <v>648</v>
      </c>
      <c r="B344" s="102" t="s">
        <v>689</v>
      </c>
      <c r="C344" s="103"/>
      <c r="D344" s="102" t="s">
        <v>3</v>
      </c>
      <c r="E344" s="103"/>
      <c r="F344" s="104">
        <v>19.5</v>
      </c>
      <c r="G344" s="105"/>
      <c r="H344" s="13">
        <v>700</v>
      </c>
      <c r="I344" s="7" t="s">
        <v>690</v>
      </c>
      <c r="J344" s="19" t="s">
        <v>600</v>
      </c>
      <c r="K344" s="9">
        <v>9</v>
      </c>
    </row>
    <row r="345" spans="1:11" ht="16.5" customHeight="1" x14ac:dyDescent="0.2">
      <c r="A345" s="6">
        <v>649</v>
      </c>
      <c r="B345" s="102" t="s">
        <v>691</v>
      </c>
      <c r="C345" s="103"/>
      <c r="D345" s="102" t="s">
        <v>6</v>
      </c>
      <c r="E345" s="103"/>
      <c r="F345" s="104">
        <v>234</v>
      </c>
      <c r="G345" s="105"/>
      <c r="H345" s="11">
        <v>701</v>
      </c>
      <c r="I345" s="7" t="s">
        <v>692</v>
      </c>
      <c r="J345" s="20" t="s">
        <v>12</v>
      </c>
      <c r="K345" s="9">
        <v>10.7</v>
      </c>
    </row>
    <row r="346" spans="1:11" ht="16.5" customHeight="1" x14ac:dyDescent="0.2">
      <c r="A346" s="12">
        <v>650</v>
      </c>
      <c r="B346" s="102" t="s">
        <v>693</v>
      </c>
      <c r="C346" s="103"/>
      <c r="D346" s="102" t="s">
        <v>12</v>
      </c>
      <c r="E346" s="103"/>
      <c r="F346" s="104">
        <v>54</v>
      </c>
      <c r="G346" s="105"/>
      <c r="H346" s="13">
        <v>702</v>
      </c>
      <c r="I346" s="7" t="s">
        <v>694</v>
      </c>
      <c r="J346" s="19" t="s">
        <v>6</v>
      </c>
      <c r="K346" s="9">
        <v>62</v>
      </c>
    </row>
    <row r="347" spans="1:11" ht="16.5" customHeight="1" x14ac:dyDescent="0.2">
      <c r="A347" s="6">
        <v>651</v>
      </c>
      <c r="B347" s="102" t="s">
        <v>695</v>
      </c>
      <c r="C347" s="103"/>
      <c r="D347" s="102" t="s">
        <v>12</v>
      </c>
      <c r="E347" s="103"/>
      <c r="F347" s="104">
        <v>13.5</v>
      </c>
      <c r="G347" s="105"/>
      <c r="H347" s="11">
        <v>703</v>
      </c>
      <c r="I347" s="7" t="s">
        <v>696</v>
      </c>
      <c r="J347" s="19" t="s">
        <v>6</v>
      </c>
      <c r="K347" s="9">
        <v>56</v>
      </c>
    </row>
    <row r="348" spans="1:11" ht="16.5" customHeight="1" x14ac:dyDescent="0.2">
      <c r="A348" s="12">
        <v>652</v>
      </c>
      <c r="B348" s="102" t="s">
        <v>697</v>
      </c>
      <c r="C348" s="103"/>
      <c r="D348" s="102" t="s">
        <v>12</v>
      </c>
      <c r="E348" s="103"/>
      <c r="F348" s="104">
        <v>32</v>
      </c>
      <c r="G348" s="105"/>
      <c r="H348" s="13">
        <v>704</v>
      </c>
      <c r="I348" s="7" t="s">
        <v>698</v>
      </c>
      <c r="J348" s="20" t="s">
        <v>12</v>
      </c>
      <c r="K348" s="9">
        <v>15.5</v>
      </c>
    </row>
    <row r="349" spans="1:11" ht="16.5" customHeight="1" x14ac:dyDescent="0.2">
      <c r="A349" s="6">
        <v>653</v>
      </c>
      <c r="B349" s="102" t="s">
        <v>699</v>
      </c>
      <c r="C349" s="103"/>
      <c r="D349" s="102" t="s">
        <v>3</v>
      </c>
      <c r="E349" s="103"/>
      <c r="F349" s="104">
        <v>4.5</v>
      </c>
      <c r="G349" s="105"/>
      <c r="H349" s="11">
        <v>705</v>
      </c>
      <c r="I349" s="7" t="s">
        <v>700</v>
      </c>
      <c r="J349" s="19" t="s">
        <v>6</v>
      </c>
      <c r="K349" s="9">
        <v>206</v>
      </c>
    </row>
    <row r="350" spans="1:11" ht="16.5" customHeight="1" x14ac:dyDescent="0.2">
      <c r="A350" s="12">
        <v>654</v>
      </c>
      <c r="B350" s="102" t="s">
        <v>701</v>
      </c>
      <c r="C350" s="103"/>
      <c r="D350" s="102" t="s">
        <v>37</v>
      </c>
      <c r="E350" s="103"/>
      <c r="F350" s="104">
        <v>84</v>
      </c>
      <c r="G350" s="105"/>
      <c r="H350" s="13">
        <v>706</v>
      </c>
      <c r="I350" s="7" t="s">
        <v>702</v>
      </c>
      <c r="J350" s="19" t="s">
        <v>6</v>
      </c>
      <c r="K350" s="9">
        <v>149</v>
      </c>
    </row>
    <row r="351" spans="1:11" ht="16.5" customHeight="1" x14ac:dyDescent="0.2">
      <c r="A351" s="6">
        <v>655</v>
      </c>
      <c r="B351" s="102" t="s">
        <v>703</v>
      </c>
      <c r="C351" s="103"/>
      <c r="D351" s="102" t="s">
        <v>6</v>
      </c>
      <c r="E351" s="103"/>
      <c r="F351" s="104">
        <v>142.4</v>
      </c>
      <c r="G351" s="105"/>
      <c r="H351" s="11">
        <v>707</v>
      </c>
      <c r="I351" s="7" t="s">
        <v>704</v>
      </c>
      <c r="J351" s="19" t="s">
        <v>6</v>
      </c>
      <c r="K351" s="9">
        <v>88</v>
      </c>
    </row>
    <row r="352" spans="1:11" ht="16.5" customHeight="1" x14ac:dyDescent="0.2">
      <c r="A352" s="12">
        <v>656</v>
      </c>
      <c r="B352" s="102" t="s">
        <v>705</v>
      </c>
      <c r="C352" s="103"/>
      <c r="D352" s="102" t="s">
        <v>6</v>
      </c>
      <c r="E352" s="103"/>
      <c r="F352" s="104">
        <v>42</v>
      </c>
      <c r="G352" s="105"/>
      <c r="H352" s="13">
        <v>708</v>
      </c>
      <c r="I352" s="7" t="s">
        <v>706</v>
      </c>
      <c r="J352" s="19" t="s">
        <v>6</v>
      </c>
      <c r="K352" s="9">
        <v>174</v>
      </c>
    </row>
    <row r="353" spans="1:11" ht="16.5" customHeight="1" x14ac:dyDescent="0.2">
      <c r="A353" s="6">
        <v>657</v>
      </c>
      <c r="B353" s="102" t="s">
        <v>707</v>
      </c>
      <c r="C353" s="103"/>
      <c r="D353" s="102" t="s">
        <v>6</v>
      </c>
      <c r="E353" s="103"/>
      <c r="F353" s="104">
        <v>42</v>
      </c>
      <c r="G353" s="105"/>
      <c r="H353" s="11">
        <v>709</v>
      </c>
      <c r="I353" s="7" t="s">
        <v>708</v>
      </c>
      <c r="J353" s="19" t="s">
        <v>6</v>
      </c>
      <c r="K353" s="9">
        <v>40</v>
      </c>
    </row>
    <row r="354" spans="1:11" ht="16.5" customHeight="1" x14ac:dyDescent="0.2">
      <c r="A354" s="12">
        <v>658</v>
      </c>
      <c r="B354" s="102" t="s">
        <v>709</v>
      </c>
      <c r="C354" s="103"/>
      <c r="D354" s="102" t="s">
        <v>6</v>
      </c>
      <c r="E354" s="103"/>
      <c r="F354" s="104">
        <v>54</v>
      </c>
      <c r="G354" s="105"/>
      <c r="H354" s="13">
        <v>710</v>
      </c>
      <c r="I354" s="7" t="s">
        <v>710</v>
      </c>
      <c r="J354" s="19" t="s">
        <v>6</v>
      </c>
      <c r="K354" s="9">
        <v>29</v>
      </c>
    </row>
    <row r="355" spans="1:11" ht="16.5" customHeight="1" x14ac:dyDescent="0.2">
      <c r="A355" s="6">
        <v>659</v>
      </c>
      <c r="B355" s="102" t="s">
        <v>711</v>
      </c>
      <c r="C355" s="103"/>
      <c r="D355" s="102" t="s">
        <v>6</v>
      </c>
      <c r="E355" s="103"/>
      <c r="F355" s="104">
        <v>175</v>
      </c>
      <c r="G355" s="105"/>
      <c r="H355" s="11">
        <v>711</v>
      </c>
      <c r="I355" s="7" t="s">
        <v>712</v>
      </c>
      <c r="J355" s="19" t="s">
        <v>3</v>
      </c>
      <c r="K355" s="9">
        <v>500</v>
      </c>
    </row>
    <row r="356" spans="1:11" ht="16.5" customHeight="1" x14ac:dyDescent="0.2">
      <c r="A356" s="12">
        <v>660</v>
      </c>
      <c r="B356" s="102" t="s">
        <v>713</v>
      </c>
      <c r="C356" s="103"/>
      <c r="D356" s="102" t="s">
        <v>6</v>
      </c>
      <c r="E356" s="103"/>
      <c r="F356" s="104">
        <v>26</v>
      </c>
      <c r="G356" s="105"/>
      <c r="H356" s="13">
        <v>712</v>
      </c>
      <c r="I356" s="7" t="s">
        <v>714</v>
      </c>
      <c r="J356" s="19" t="s">
        <v>715</v>
      </c>
      <c r="K356" s="9">
        <v>268</v>
      </c>
    </row>
    <row r="357" spans="1:11" ht="16.5" customHeight="1" x14ac:dyDescent="0.2">
      <c r="A357" s="6">
        <v>661</v>
      </c>
      <c r="B357" s="102" t="s">
        <v>716</v>
      </c>
      <c r="C357" s="103"/>
      <c r="D357" s="102" t="s">
        <v>6</v>
      </c>
      <c r="E357" s="103"/>
      <c r="F357" s="104">
        <v>25</v>
      </c>
      <c r="G357" s="105"/>
      <c r="H357" s="11">
        <v>713</v>
      </c>
      <c r="I357" s="7" t="s">
        <v>717</v>
      </c>
      <c r="J357" s="19" t="s">
        <v>3</v>
      </c>
      <c r="K357" s="9">
        <v>32</v>
      </c>
    </row>
    <row r="358" spans="1:11" ht="16.5" customHeight="1" x14ac:dyDescent="0.2">
      <c r="A358" s="12">
        <v>662</v>
      </c>
      <c r="B358" s="102" t="s">
        <v>718</v>
      </c>
      <c r="C358" s="103"/>
      <c r="D358" s="102" t="s">
        <v>227</v>
      </c>
      <c r="E358" s="103"/>
      <c r="F358" s="104">
        <v>19</v>
      </c>
      <c r="G358" s="105"/>
      <c r="H358" s="13">
        <v>714</v>
      </c>
      <c r="I358" s="7" t="s">
        <v>719</v>
      </c>
      <c r="J358" s="19" t="s">
        <v>3</v>
      </c>
      <c r="K358" s="9">
        <v>62.5</v>
      </c>
    </row>
    <row r="359" spans="1:11" ht="16.5" customHeight="1" x14ac:dyDescent="0.2">
      <c r="A359" s="6">
        <v>663</v>
      </c>
      <c r="B359" s="102" t="s">
        <v>720</v>
      </c>
      <c r="C359" s="103"/>
      <c r="D359" s="102" t="s">
        <v>6</v>
      </c>
      <c r="E359" s="103"/>
      <c r="F359" s="104">
        <v>38</v>
      </c>
      <c r="G359" s="105"/>
      <c r="H359" s="11">
        <v>715</v>
      </c>
      <c r="I359" s="7" t="s">
        <v>721</v>
      </c>
      <c r="J359" s="19" t="s">
        <v>6</v>
      </c>
      <c r="K359" s="9">
        <v>233</v>
      </c>
    </row>
    <row r="360" spans="1:11" ht="16.5" customHeight="1" x14ac:dyDescent="0.2">
      <c r="A360" s="12">
        <v>664</v>
      </c>
      <c r="B360" s="102" t="s">
        <v>722</v>
      </c>
      <c r="C360" s="103"/>
      <c r="D360" s="102" t="s">
        <v>516</v>
      </c>
      <c r="E360" s="103"/>
      <c r="F360" s="104">
        <v>17.5</v>
      </c>
      <c r="G360" s="105"/>
      <c r="H360" s="13">
        <v>716</v>
      </c>
      <c r="I360" s="7" t="s">
        <v>723</v>
      </c>
      <c r="J360" s="19" t="s">
        <v>3</v>
      </c>
      <c r="K360" s="9">
        <v>17.3</v>
      </c>
    </row>
    <row r="361" spans="1:11" ht="16.5" customHeight="1" x14ac:dyDescent="0.2">
      <c r="A361" s="6">
        <v>665</v>
      </c>
      <c r="B361" s="102" t="s">
        <v>724</v>
      </c>
      <c r="C361" s="103"/>
      <c r="D361" s="102" t="s">
        <v>37</v>
      </c>
      <c r="E361" s="103"/>
      <c r="F361" s="104">
        <v>53.4</v>
      </c>
      <c r="G361" s="105"/>
      <c r="H361" s="11">
        <v>717</v>
      </c>
      <c r="I361" s="7" t="s">
        <v>725</v>
      </c>
      <c r="J361" s="19" t="s">
        <v>6</v>
      </c>
      <c r="K361" s="9">
        <v>4.5999999999999996</v>
      </c>
    </row>
    <row r="362" spans="1:11" ht="16.5" customHeight="1" x14ac:dyDescent="0.2">
      <c r="A362" s="12">
        <v>666</v>
      </c>
      <c r="B362" s="102" t="s">
        <v>726</v>
      </c>
      <c r="C362" s="103"/>
      <c r="D362" s="102" t="s">
        <v>37</v>
      </c>
      <c r="E362" s="103"/>
      <c r="F362" s="104">
        <v>65</v>
      </c>
      <c r="G362" s="105"/>
      <c r="H362" s="13">
        <v>718</v>
      </c>
      <c r="I362" s="7" t="s">
        <v>727</v>
      </c>
      <c r="J362" s="19" t="s">
        <v>6</v>
      </c>
      <c r="K362" s="9">
        <v>40</v>
      </c>
    </row>
    <row r="363" spans="1:11" ht="16.5" customHeight="1" x14ac:dyDescent="0.2">
      <c r="A363" s="6">
        <v>667</v>
      </c>
      <c r="B363" s="102" t="s">
        <v>728</v>
      </c>
      <c r="C363" s="103"/>
      <c r="D363" s="102" t="s">
        <v>6</v>
      </c>
      <c r="E363" s="103"/>
      <c r="F363" s="104">
        <v>32</v>
      </c>
      <c r="G363" s="105"/>
      <c r="H363" s="11">
        <v>719</v>
      </c>
      <c r="I363" s="7" t="s">
        <v>729</v>
      </c>
      <c r="J363" s="19" t="s">
        <v>6</v>
      </c>
      <c r="K363" s="9">
        <v>16.5</v>
      </c>
    </row>
    <row r="364" spans="1:11" ht="16.5" customHeight="1" x14ac:dyDescent="0.2">
      <c r="A364" s="12">
        <v>668</v>
      </c>
      <c r="B364" s="102" t="s">
        <v>730</v>
      </c>
      <c r="C364" s="103"/>
      <c r="D364" s="102" t="s">
        <v>6</v>
      </c>
      <c r="E364" s="103"/>
      <c r="F364" s="104">
        <v>60</v>
      </c>
      <c r="G364" s="105"/>
      <c r="H364" s="13">
        <v>720</v>
      </c>
      <c r="I364" s="7" t="s">
        <v>731</v>
      </c>
      <c r="J364" s="19" t="s">
        <v>6</v>
      </c>
      <c r="K364" s="9">
        <v>18</v>
      </c>
    </row>
    <row r="365" spans="1:11" ht="16.5" customHeight="1" x14ac:dyDescent="0.2">
      <c r="A365" s="6">
        <v>669</v>
      </c>
      <c r="B365" s="102" t="s">
        <v>732</v>
      </c>
      <c r="C365" s="103"/>
      <c r="D365" s="102" t="s">
        <v>6</v>
      </c>
      <c r="E365" s="103"/>
      <c r="F365" s="104">
        <v>97</v>
      </c>
      <c r="G365" s="105"/>
      <c r="H365" s="11">
        <v>721</v>
      </c>
      <c r="I365" s="7" t="s">
        <v>733</v>
      </c>
      <c r="J365" s="19" t="s">
        <v>6</v>
      </c>
      <c r="K365" s="9">
        <v>14.5</v>
      </c>
    </row>
    <row r="366" spans="1:11" ht="16.5" customHeight="1" x14ac:dyDescent="0.2">
      <c r="A366" s="12">
        <v>670</v>
      </c>
      <c r="B366" s="102" t="s">
        <v>734</v>
      </c>
      <c r="C366" s="103"/>
      <c r="D366" s="102" t="s">
        <v>6</v>
      </c>
      <c r="E366" s="103"/>
      <c r="F366" s="104">
        <v>92</v>
      </c>
      <c r="G366" s="105"/>
      <c r="H366" s="13">
        <v>722</v>
      </c>
      <c r="I366" s="7" t="s">
        <v>735</v>
      </c>
      <c r="J366" s="19" t="s">
        <v>3</v>
      </c>
      <c r="K366" s="9">
        <v>42</v>
      </c>
    </row>
    <row r="367" spans="1:11" ht="16.5" customHeight="1" x14ac:dyDescent="0.2">
      <c r="A367" s="6">
        <v>671</v>
      </c>
      <c r="B367" s="102" t="s">
        <v>736</v>
      </c>
      <c r="C367" s="103"/>
      <c r="D367" s="102" t="s">
        <v>101</v>
      </c>
      <c r="E367" s="103"/>
      <c r="F367" s="104">
        <v>156</v>
      </c>
      <c r="G367" s="105"/>
      <c r="H367" s="11">
        <v>723</v>
      </c>
      <c r="I367" s="7" t="s">
        <v>737</v>
      </c>
      <c r="J367" s="19" t="s">
        <v>6</v>
      </c>
      <c r="K367" s="9">
        <v>19</v>
      </c>
    </row>
    <row r="368" spans="1:11" ht="16.5" customHeight="1" x14ac:dyDescent="0.2">
      <c r="A368" s="12">
        <v>672</v>
      </c>
      <c r="B368" s="102" t="s">
        <v>738</v>
      </c>
      <c r="C368" s="103"/>
      <c r="D368" s="102" t="s">
        <v>6</v>
      </c>
      <c r="E368" s="103"/>
      <c r="F368" s="104">
        <v>533</v>
      </c>
      <c r="G368" s="105"/>
      <c r="H368" s="13">
        <v>724</v>
      </c>
      <c r="I368" s="7" t="s">
        <v>739</v>
      </c>
      <c r="J368" s="19" t="s">
        <v>6</v>
      </c>
      <c r="K368" s="9">
        <v>18</v>
      </c>
    </row>
    <row r="369" spans="1:11" ht="16.5" customHeight="1" x14ac:dyDescent="0.2">
      <c r="A369" s="6">
        <v>673</v>
      </c>
      <c r="B369" s="102" t="s">
        <v>740</v>
      </c>
      <c r="C369" s="103"/>
      <c r="D369" s="102" t="s">
        <v>3</v>
      </c>
      <c r="E369" s="103"/>
      <c r="F369" s="104">
        <v>50</v>
      </c>
      <c r="G369" s="105"/>
      <c r="H369" s="11">
        <v>725</v>
      </c>
      <c r="I369" s="7" t="s">
        <v>741</v>
      </c>
      <c r="J369" s="19" t="s">
        <v>3</v>
      </c>
      <c r="K369" s="9">
        <v>52</v>
      </c>
    </row>
    <row r="370" spans="1:11" ht="16.5" customHeight="1" x14ac:dyDescent="0.2">
      <c r="A370" s="12">
        <v>674</v>
      </c>
      <c r="B370" s="102" t="s">
        <v>742</v>
      </c>
      <c r="C370" s="103"/>
      <c r="D370" s="102" t="s">
        <v>3</v>
      </c>
      <c r="E370" s="103"/>
      <c r="F370" s="104">
        <v>51</v>
      </c>
      <c r="G370" s="105"/>
      <c r="H370" s="13">
        <v>726</v>
      </c>
      <c r="I370" s="7" t="s">
        <v>743</v>
      </c>
      <c r="J370" s="19" t="s">
        <v>6</v>
      </c>
      <c r="K370" s="9">
        <v>25</v>
      </c>
    </row>
    <row r="371" spans="1:11" ht="16.5" customHeight="1" x14ac:dyDescent="0.2">
      <c r="A371" s="6">
        <v>675</v>
      </c>
      <c r="B371" s="102" t="s">
        <v>744</v>
      </c>
      <c r="C371" s="103"/>
      <c r="D371" s="102" t="s">
        <v>6</v>
      </c>
      <c r="E371" s="103"/>
      <c r="F371" s="104">
        <v>209</v>
      </c>
      <c r="G371" s="105"/>
      <c r="H371" s="11">
        <v>727</v>
      </c>
      <c r="I371" s="7" t="s">
        <v>745</v>
      </c>
      <c r="J371" s="19" t="s">
        <v>6</v>
      </c>
      <c r="K371" s="9">
        <v>43</v>
      </c>
    </row>
    <row r="372" spans="1:11" ht="16.5" customHeight="1" x14ac:dyDescent="0.2">
      <c r="A372" s="14">
        <v>676</v>
      </c>
      <c r="B372" s="102" t="s">
        <v>746</v>
      </c>
      <c r="C372" s="103"/>
      <c r="D372" s="102" t="s">
        <v>323</v>
      </c>
      <c r="E372" s="103"/>
      <c r="F372" s="106">
        <v>152</v>
      </c>
      <c r="G372" s="107"/>
      <c r="H372" s="17">
        <v>728</v>
      </c>
      <c r="I372" s="7" t="s">
        <v>747</v>
      </c>
      <c r="J372" s="19" t="s">
        <v>323</v>
      </c>
      <c r="K372" s="15">
        <v>70</v>
      </c>
    </row>
    <row r="373" spans="1:11" ht="14.25" customHeight="1" x14ac:dyDescent="0.2">
      <c r="A373" s="1"/>
      <c r="B373" s="97" t="s">
        <v>1</v>
      </c>
      <c r="C373" s="98"/>
      <c r="D373" s="99"/>
      <c r="E373" s="100"/>
      <c r="F373" s="99"/>
      <c r="G373" s="100"/>
      <c r="H373" s="4"/>
      <c r="I373" s="2" t="s">
        <v>1</v>
      </c>
      <c r="J373" s="3"/>
      <c r="K373" s="3"/>
    </row>
    <row r="374" spans="1:11" ht="16.5" customHeight="1" x14ac:dyDescent="0.2">
      <c r="A374" s="6">
        <v>729</v>
      </c>
      <c r="B374" s="102" t="s">
        <v>748</v>
      </c>
      <c r="C374" s="103"/>
      <c r="D374" s="102" t="s">
        <v>6</v>
      </c>
      <c r="E374" s="103"/>
      <c r="F374" s="104">
        <v>38</v>
      </c>
      <c r="G374" s="105"/>
      <c r="H374" s="11">
        <v>781</v>
      </c>
      <c r="I374" s="7" t="s">
        <v>749</v>
      </c>
      <c r="J374" s="7" t="s">
        <v>37</v>
      </c>
      <c r="K374" s="9">
        <v>51</v>
      </c>
    </row>
    <row r="375" spans="1:11" ht="16.5" customHeight="1" x14ac:dyDescent="0.2">
      <c r="A375" s="6">
        <v>730</v>
      </c>
      <c r="B375" s="102" t="s">
        <v>750</v>
      </c>
      <c r="C375" s="103"/>
      <c r="D375" s="102" t="s">
        <v>6</v>
      </c>
      <c r="E375" s="103"/>
      <c r="F375" s="104">
        <v>15</v>
      </c>
      <c r="G375" s="105"/>
      <c r="H375" s="11">
        <v>782</v>
      </c>
      <c r="I375" s="7" t="s">
        <v>751</v>
      </c>
      <c r="J375" s="7" t="s">
        <v>6</v>
      </c>
      <c r="K375" s="9">
        <v>57</v>
      </c>
    </row>
    <row r="376" spans="1:11" ht="16.5" customHeight="1" x14ac:dyDescent="0.2">
      <c r="A376" s="6">
        <v>731</v>
      </c>
      <c r="B376" s="102" t="s">
        <v>752</v>
      </c>
      <c r="C376" s="103"/>
      <c r="D376" s="102" t="s">
        <v>37</v>
      </c>
      <c r="E376" s="103"/>
      <c r="F376" s="104">
        <v>65</v>
      </c>
      <c r="G376" s="105"/>
      <c r="H376" s="11">
        <v>783</v>
      </c>
      <c r="I376" s="7" t="s">
        <v>753</v>
      </c>
      <c r="J376" s="7" t="s">
        <v>6</v>
      </c>
      <c r="K376" s="9">
        <v>175</v>
      </c>
    </row>
    <row r="377" spans="1:11" ht="16.5" customHeight="1" x14ac:dyDescent="0.2">
      <c r="A377" s="6">
        <v>732</v>
      </c>
      <c r="B377" s="102" t="s">
        <v>754</v>
      </c>
      <c r="C377" s="103"/>
      <c r="D377" s="102" t="s">
        <v>6</v>
      </c>
      <c r="E377" s="103"/>
      <c r="F377" s="104">
        <v>48</v>
      </c>
      <c r="G377" s="105"/>
      <c r="H377" s="11">
        <v>784</v>
      </c>
      <c r="I377" s="7" t="s">
        <v>755</v>
      </c>
      <c r="J377" s="7" t="s">
        <v>6</v>
      </c>
      <c r="K377" s="9">
        <v>50</v>
      </c>
    </row>
    <row r="378" spans="1:11" ht="16.5" customHeight="1" x14ac:dyDescent="0.2">
      <c r="A378" s="6">
        <v>733</v>
      </c>
      <c r="B378" s="102" t="s">
        <v>756</v>
      </c>
      <c r="C378" s="103"/>
      <c r="D378" s="102" t="s">
        <v>12</v>
      </c>
      <c r="E378" s="103"/>
      <c r="F378" s="104">
        <v>19</v>
      </c>
      <c r="G378" s="105"/>
      <c r="H378" s="11">
        <v>785</v>
      </c>
      <c r="I378" s="7" t="s">
        <v>757</v>
      </c>
      <c r="J378" s="7" t="s">
        <v>6</v>
      </c>
      <c r="K378" s="9">
        <v>55</v>
      </c>
    </row>
    <row r="379" spans="1:11" ht="16.5" customHeight="1" x14ac:dyDescent="0.2">
      <c r="A379" s="6">
        <v>734</v>
      </c>
      <c r="B379" s="102" t="s">
        <v>758</v>
      </c>
      <c r="C379" s="103"/>
      <c r="D379" s="102" t="s">
        <v>6</v>
      </c>
      <c r="E379" s="103"/>
      <c r="F379" s="104">
        <v>9.5</v>
      </c>
      <c r="G379" s="105"/>
      <c r="H379" s="11">
        <v>786</v>
      </c>
      <c r="I379" s="7" t="s">
        <v>759</v>
      </c>
      <c r="J379" s="7" t="s">
        <v>6</v>
      </c>
      <c r="K379" s="9">
        <v>30</v>
      </c>
    </row>
    <row r="380" spans="1:11" ht="16.5" customHeight="1" x14ac:dyDescent="0.2">
      <c r="A380" s="6">
        <v>735</v>
      </c>
      <c r="B380" s="102" t="s">
        <v>760</v>
      </c>
      <c r="C380" s="103"/>
      <c r="D380" s="102" t="s">
        <v>6</v>
      </c>
      <c r="E380" s="103"/>
      <c r="F380" s="104">
        <v>87</v>
      </c>
      <c r="G380" s="105"/>
      <c r="H380" s="11">
        <v>787</v>
      </c>
      <c r="I380" s="7" t="s">
        <v>761</v>
      </c>
      <c r="J380" s="7" t="s">
        <v>6</v>
      </c>
      <c r="K380" s="9">
        <v>22</v>
      </c>
    </row>
    <row r="381" spans="1:11" ht="16.5" customHeight="1" x14ac:dyDescent="0.2">
      <c r="A381" s="6">
        <v>736</v>
      </c>
      <c r="B381" s="102" t="s">
        <v>762</v>
      </c>
      <c r="C381" s="103"/>
      <c r="D381" s="102" t="s">
        <v>3</v>
      </c>
      <c r="E381" s="103"/>
      <c r="F381" s="104">
        <v>6.5</v>
      </c>
      <c r="G381" s="105"/>
      <c r="H381" s="11">
        <v>788</v>
      </c>
      <c r="I381" s="7" t="s">
        <v>763</v>
      </c>
      <c r="J381" s="7" t="s">
        <v>6</v>
      </c>
      <c r="K381" s="9">
        <v>28</v>
      </c>
    </row>
    <row r="382" spans="1:11" ht="16.5" customHeight="1" x14ac:dyDescent="0.2">
      <c r="A382" s="6">
        <v>737</v>
      </c>
      <c r="B382" s="102" t="s">
        <v>764</v>
      </c>
      <c r="C382" s="103"/>
      <c r="D382" s="102" t="s">
        <v>37</v>
      </c>
      <c r="E382" s="103"/>
      <c r="F382" s="104">
        <v>130</v>
      </c>
      <c r="G382" s="105"/>
      <c r="H382" s="11">
        <v>789</v>
      </c>
      <c r="I382" s="7" t="s">
        <v>765</v>
      </c>
      <c r="J382" s="7" t="s">
        <v>6</v>
      </c>
      <c r="K382" s="9">
        <v>33.6</v>
      </c>
    </row>
    <row r="383" spans="1:11" ht="16.5" customHeight="1" x14ac:dyDescent="0.2">
      <c r="A383" s="6">
        <v>738</v>
      </c>
      <c r="B383" s="102" t="s">
        <v>766</v>
      </c>
      <c r="C383" s="103"/>
      <c r="D383" s="102" t="s">
        <v>6</v>
      </c>
      <c r="E383" s="103"/>
      <c r="F383" s="104">
        <v>23.5</v>
      </c>
      <c r="G383" s="105"/>
      <c r="H383" s="11">
        <v>790</v>
      </c>
      <c r="I383" s="7" t="s">
        <v>767</v>
      </c>
      <c r="J383" s="7" t="s">
        <v>6</v>
      </c>
      <c r="K383" s="9">
        <v>31.7</v>
      </c>
    </row>
    <row r="384" spans="1:11" ht="16.5" customHeight="1" x14ac:dyDescent="0.2">
      <c r="A384" s="6">
        <v>739</v>
      </c>
      <c r="B384" s="102" t="s">
        <v>768</v>
      </c>
      <c r="C384" s="103"/>
      <c r="D384" s="102" t="s">
        <v>6</v>
      </c>
      <c r="E384" s="103"/>
      <c r="F384" s="104">
        <v>65.5</v>
      </c>
      <c r="G384" s="105"/>
      <c r="H384" s="11">
        <v>791</v>
      </c>
      <c r="I384" s="7" t="s">
        <v>769</v>
      </c>
      <c r="J384" s="7" t="s">
        <v>6</v>
      </c>
      <c r="K384" s="9">
        <v>15</v>
      </c>
    </row>
    <row r="385" spans="1:11" ht="16.5" customHeight="1" x14ac:dyDescent="0.2">
      <c r="A385" s="6">
        <v>740</v>
      </c>
      <c r="B385" s="102" t="s">
        <v>770</v>
      </c>
      <c r="C385" s="103"/>
      <c r="D385" s="102" t="s">
        <v>3</v>
      </c>
      <c r="E385" s="103"/>
      <c r="F385" s="104">
        <v>22</v>
      </c>
      <c r="G385" s="105"/>
      <c r="H385" s="11">
        <v>792</v>
      </c>
      <c r="I385" s="7" t="s">
        <v>771</v>
      </c>
      <c r="J385" s="7" t="s">
        <v>6</v>
      </c>
      <c r="K385" s="9">
        <v>14.2</v>
      </c>
    </row>
    <row r="386" spans="1:11" ht="16.5" customHeight="1" x14ac:dyDescent="0.2">
      <c r="A386" s="6">
        <v>741</v>
      </c>
      <c r="B386" s="102" t="s">
        <v>772</v>
      </c>
      <c r="C386" s="103"/>
      <c r="D386" s="102" t="s">
        <v>101</v>
      </c>
      <c r="E386" s="103"/>
      <c r="F386" s="104">
        <v>34</v>
      </c>
      <c r="G386" s="105"/>
      <c r="H386" s="11">
        <v>793</v>
      </c>
      <c r="I386" s="7" t="s">
        <v>773</v>
      </c>
      <c r="J386" s="7" t="s">
        <v>3</v>
      </c>
      <c r="K386" s="9">
        <v>18.399999999999999</v>
      </c>
    </row>
    <row r="387" spans="1:11" ht="16.5" customHeight="1" x14ac:dyDescent="0.2">
      <c r="A387" s="12">
        <v>742</v>
      </c>
      <c r="B387" s="102" t="s">
        <v>774</v>
      </c>
      <c r="C387" s="103"/>
      <c r="D387" s="102" t="s">
        <v>3</v>
      </c>
      <c r="E387" s="103"/>
      <c r="F387" s="104">
        <v>24</v>
      </c>
      <c r="G387" s="105"/>
      <c r="H387" s="13">
        <v>794</v>
      </c>
      <c r="I387" s="7" t="s">
        <v>775</v>
      </c>
      <c r="J387" s="7" t="s">
        <v>3</v>
      </c>
      <c r="K387" s="9">
        <v>24.5</v>
      </c>
    </row>
    <row r="388" spans="1:11" ht="16.5" customHeight="1" x14ac:dyDescent="0.2">
      <c r="A388" s="6">
        <v>743</v>
      </c>
      <c r="B388" s="102" t="s">
        <v>776</v>
      </c>
      <c r="C388" s="103"/>
      <c r="D388" s="102" t="s">
        <v>3</v>
      </c>
      <c r="E388" s="103"/>
      <c r="F388" s="104">
        <v>50</v>
      </c>
      <c r="G388" s="105"/>
      <c r="H388" s="11">
        <v>795</v>
      </c>
      <c r="I388" s="7" t="s">
        <v>777</v>
      </c>
      <c r="J388" s="7" t="s">
        <v>6</v>
      </c>
      <c r="K388" s="9">
        <v>5.3</v>
      </c>
    </row>
    <row r="389" spans="1:11" ht="16.5" customHeight="1" x14ac:dyDescent="0.2">
      <c r="A389" s="12">
        <v>744</v>
      </c>
      <c r="B389" s="102" t="s">
        <v>778</v>
      </c>
      <c r="C389" s="103"/>
      <c r="D389" s="102" t="s">
        <v>3</v>
      </c>
      <c r="E389" s="103"/>
      <c r="F389" s="104">
        <v>47</v>
      </c>
      <c r="G389" s="105"/>
      <c r="H389" s="13">
        <v>796</v>
      </c>
      <c r="I389" s="7" t="s">
        <v>779</v>
      </c>
      <c r="J389" s="7" t="s">
        <v>6</v>
      </c>
      <c r="K389" s="9">
        <v>19.2</v>
      </c>
    </row>
    <row r="390" spans="1:11" ht="16.5" customHeight="1" x14ac:dyDescent="0.2">
      <c r="A390" s="6">
        <v>745</v>
      </c>
      <c r="B390" s="102" t="s">
        <v>780</v>
      </c>
      <c r="C390" s="103"/>
      <c r="D390" s="102" t="s">
        <v>3</v>
      </c>
      <c r="E390" s="103"/>
      <c r="F390" s="104">
        <v>15</v>
      </c>
      <c r="G390" s="105"/>
      <c r="H390" s="11">
        <v>797</v>
      </c>
      <c r="I390" s="7" t="s">
        <v>781</v>
      </c>
      <c r="J390" s="7" t="s">
        <v>3</v>
      </c>
      <c r="K390" s="9">
        <v>58</v>
      </c>
    </row>
    <row r="391" spans="1:11" ht="16.5" customHeight="1" x14ac:dyDescent="0.2">
      <c r="A391" s="12">
        <v>746</v>
      </c>
      <c r="B391" s="102" t="s">
        <v>782</v>
      </c>
      <c r="C391" s="103"/>
      <c r="D391" s="102" t="s">
        <v>3</v>
      </c>
      <c r="E391" s="103"/>
      <c r="F391" s="104">
        <v>20</v>
      </c>
      <c r="G391" s="105"/>
      <c r="H391" s="13">
        <v>798</v>
      </c>
      <c r="I391" s="7" t="s">
        <v>783</v>
      </c>
      <c r="J391" s="7" t="s">
        <v>6</v>
      </c>
      <c r="K391" s="9">
        <v>180</v>
      </c>
    </row>
    <row r="392" spans="1:11" ht="16.5" customHeight="1" x14ac:dyDescent="0.2">
      <c r="A392" s="6">
        <v>747</v>
      </c>
      <c r="B392" s="102" t="s">
        <v>784</v>
      </c>
      <c r="C392" s="103"/>
      <c r="D392" s="102" t="s">
        <v>3</v>
      </c>
      <c r="E392" s="103"/>
      <c r="F392" s="104">
        <v>38</v>
      </c>
      <c r="G392" s="105"/>
      <c r="H392" s="11">
        <v>799</v>
      </c>
      <c r="I392" s="7" t="s">
        <v>785</v>
      </c>
      <c r="J392" s="7" t="s">
        <v>6</v>
      </c>
      <c r="K392" s="9">
        <v>40</v>
      </c>
    </row>
    <row r="393" spans="1:11" ht="16.5" customHeight="1" x14ac:dyDescent="0.2">
      <c r="A393" s="12">
        <v>748</v>
      </c>
      <c r="B393" s="102" t="s">
        <v>786</v>
      </c>
      <c r="C393" s="103"/>
      <c r="D393" s="102" t="s">
        <v>6</v>
      </c>
      <c r="E393" s="103"/>
      <c r="F393" s="104">
        <v>15</v>
      </c>
      <c r="G393" s="105"/>
      <c r="H393" s="13">
        <v>800</v>
      </c>
      <c r="I393" s="7" t="s">
        <v>787</v>
      </c>
      <c r="J393" s="7" t="s">
        <v>6</v>
      </c>
      <c r="K393" s="9">
        <v>57</v>
      </c>
    </row>
    <row r="394" spans="1:11" ht="16.5" customHeight="1" x14ac:dyDescent="0.2">
      <c r="A394" s="6">
        <v>749</v>
      </c>
      <c r="B394" s="102" t="s">
        <v>788</v>
      </c>
      <c r="C394" s="103"/>
      <c r="D394" s="102" t="s">
        <v>37</v>
      </c>
      <c r="E394" s="103"/>
      <c r="F394" s="104">
        <v>106</v>
      </c>
      <c r="G394" s="105"/>
      <c r="H394" s="11">
        <v>801</v>
      </c>
      <c r="I394" s="7" t="s">
        <v>789</v>
      </c>
      <c r="J394" s="7" t="s">
        <v>6</v>
      </c>
      <c r="K394" s="9">
        <v>27</v>
      </c>
    </row>
    <row r="395" spans="1:11" ht="16.5" customHeight="1" x14ac:dyDescent="0.2">
      <c r="A395" s="12">
        <v>750</v>
      </c>
      <c r="B395" s="102" t="s">
        <v>790</v>
      </c>
      <c r="C395" s="103"/>
      <c r="D395" s="102" t="s">
        <v>6</v>
      </c>
      <c r="E395" s="103"/>
      <c r="F395" s="104">
        <v>189</v>
      </c>
      <c r="G395" s="105"/>
      <c r="H395" s="13">
        <v>802</v>
      </c>
      <c r="I395" s="7" t="s">
        <v>791</v>
      </c>
      <c r="J395" s="7" t="s">
        <v>6</v>
      </c>
      <c r="K395" s="9">
        <v>30</v>
      </c>
    </row>
    <row r="396" spans="1:11" ht="16.5" customHeight="1" x14ac:dyDescent="0.2">
      <c r="A396" s="6">
        <v>751</v>
      </c>
      <c r="B396" s="102" t="s">
        <v>792</v>
      </c>
      <c r="C396" s="103"/>
      <c r="D396" s="102" t="s">
        <v>6</v>
      </c>
      <c r="E396" s="103"/>
      <c r="F396" s="104">
        <v>1.92</v>
      </c>
      <c r="G396" s="105"/>
      <c r="H396" s="11">
        <v>803</v>
      </c>
      <c r="I396" s="7" t="s">
        <v>793</v>
      </c>
      <c r="J396" s="7" t="s">
        <v>3</v>
      </c>
      <c r="K396" s="9">
        <v>25.5</v>
      </c>
    </row>
    <row r="397" spans="1:11" ht="16.5" customHeight="1" x14ac:dyDescent="0.2">
      <c r="A397" s="12">
        <v>752</v>
      </c>
      <c r="B397" s="102" t="s">
        <v>794</v>
      </c>
      <c r="C397" s="103"/>
      <c r="D397" s="102" t="s">
        <v>3</v>
      </c>
      <c r="E397" s="103"/>
      <c r="F397" s="104">
        <v>84</v>
      </c>
      <c r="G397" s="105"/>
      <c r="H397" s="13">
        <v>804</v>
      </c>
      <c r="I397" s="7" t="s">
        <v>795</v>
      </c>
      <c r="J397" s="7" t="s">
        <v>6</v>
      </c>
      <c r="K397" s="9">
        <v>19</v>
      </c>
    </row>
    <row r="398" spans="1:11" ht="16.5" customHeight="1" x14ac:dyDescent="0.2">
      <c r="A398" s="6">
        <v>753</v>
      </c>
      <c r="B398" s="102" t="s">
        <v>796</v>
      </c>
      <c r="C398" s="103"/>
      <c r="D398" s="102" t="s">
        <v>6</v>
      </c>
      <c r="E398" s="103"/>
      <c r="F398" s="104">
        <v>50</v>
      </c>
      <c r="G398" s="105"/>
      <c r="H398" s="11">
        <v>805</v>
      </c>
      <c r="I398" s="7" t="s">
        <v>797</v>
      </c>
      <c r="J398" s="7" t="s">
        <v>12</v>
      </c>
      <c r="K398" s="9">
        <v>26</v>
      </c>
    </row>
    <row r="399" spans="1:11" ht="16.5" customHeight="1" x14ac:dyDescent="0.2">
      <c r="A399" s="12">
        <v>754</v>
      </c>
      <c r="B399" s="102" t="s">
        <v>798</v>
      </c>
      <c r="C399" s="103"/>
      <c r="D399" s="102" t="s">
        <v>6</v>
      </c>
      <c r="E399" s="103"/>
      <c r="F399" s="104">
        <v>38</v>
      </c>
      <c r="G399" s="105"/>
      <c r="H399" s="13">
        <v>806</v>
      </c>
      <c r="I399" s="7" t="s">
        <v>799</v>
      </c>
      <c r="J399" s="7" t="s">
        <v>37</v>
      </c>
      <c r="K399" s="9">
        <v>41</v>
      </c>
    </row>
    <row r="400" spans="1:11" ht="16.5" customHeight="1" x14ac:dyDescent="0.2">
      <c r="A400" s="6">
        <v>755</v>
      </c>
      <c r="B400" s="102" t="s">
        <v>800</v>
      </c>
      <c r="C400" s="103"/>
      <c r="D400" s="102" t="s">
        <v>6</v>
      </c>
      <c r="E400" s="103"/>
      <c r="F400" s="104">
        <v>15</v>
      </c>
      <c r="G400" s="105"/>
      <c r="H400" s="11">
        <v>807</v>
      </c>
      <c r="I400" s="7" t="s">
        <v>801</v>
      </c>
      <c r="J400" s="7" t="s">
        <v>37</v>
      </c>
      <c r="K400" s="9">
        <v>155</v>
      </c>
    </row>
    <row r="401" spans="1:11" ht="16.5" customHeight="1" x14ac:dyDescent="0.2">
      <c r="A401" s="12">
        <v>756</v>
      </c>
      <c r="B401" s="102" t="s">
        <v>802</v>
      </c>
      <c r="C401" s="103"/>
      <c r="D401" s="102" t="s">
        <v>12</v>
      </c>
      <c r="E401" s="103"/>
      <c r="F401" s="104">
        <v>12.5</v>
      </c>
      <c r="G401" s="105"/>
      <c r="H401" s="13">
        <v>808</v>
      </c>
      <c r="I401" s="7" t="s">
        <v>803</v>
      </c>
      <c r="J401" s="7" t="s">
        <v>37</v>
      </c>
      <c r="K401" s="9">
        <v>120</v>
      </c>
    </row>
    <row r="402" spans="1:11" ht="16.5" customHeight="1" x14ac:dyDescent="0.2">
      <c r="A402" s="6">
        <v>757</v>
      </c>
      <c r="B402" s="102" t="s">
        <v>804</v>
      </c>
      <c r="C402" s="103"/>
      <c r="D402" s="102" t="s">
        <v>12</v>
      </c>
      <c r="E402" s="103"/>
      <c r="F402" s="104">
        <v>13.5</v>
      </c>
      <c r="G402" s="105"/>
      <c r="H402" s="11">
        <v>809</v>
      </c>
      <c r="I402" s="7" t="s">
        <v>805</v>
      </c>
      <c r="J402" s="7" t="s">
        <v>37</v>
      </c>
      <c r="K402" s="9">
        <v>150</v>
      </c>
    </row>
    <row r="403" spans="1:11" ht="16.5" customHeight="1" x14ac:dyDescent="0.2">
      <c r="A403" s="12">
        <v>758</v>
      </c>
      <c r="B403" s="102" t="s">
        <v>806</v>
      </c>
      <c r="C403" s="103"/>
      <c r="D403" s="102" t="s">
        <v>12</v>
      </c>
      <c r="E403" s="103"/>
      <c r="F403" s="104">
        <v>14</v>
      </c>
      <c r="G403" s="105"/>
      <c r="H403" s="13">
        <v>810</v>
      </c>
      <c r="I403" s="7" t="s">
        <v>807</v>
      </c>
      <c r="J403" s="7" t="s">
        <v>6</v>
      </c>
      <c r="K403" s="9">
        <v>42</v>
      </c>
    </row>
    <row r="404" spans="1:11" ht="16.5" customHeight="1" x14ac:dyDescent="0.2">
      <c r="A404" s="6">
        <v>759</v>
      </c>
      <c r="B404" s="102" t="s">
        <v>808</v>
      </c>
      <c r="C404" s="103"/>
      <c r="D404" s="102" t="s">
        <v>6</v>
      </c>
      <c r="E404" s="103"/>
      <c r="F404" s="104">
        <v>46</v>
      </c>
      <c r="G404" s="105"/>
      <c r="H404" s="11">
        <v>811</v>
      </c>
      <c r="I404" s="7" t="s">
        <v>809</v>
      </c>
      <c r="J404" s="7" t="s">
        <v>6</v>
      </c>
      <c r="K404" s="9">
        <v>32.5</v>
      </c>
    </row>
    <row r="405" spans="1:11" ht="16.5" customHeight="1" x14ac:dyDescent="0.2">
      <c r="A405" s="12">
        <v>760</v>
      </c>
      <c r="B405" s="102" t="s">
        <v>810</v>
      </c>
      <c r="C405" s="103"/>
      <c r="D405" s="102" t="s">
        <v>6</v>
      </c>
      <c r="E405" s="103"/>
      <c r="F405" s="104">
        <v>17</v>
      </c>
      <c r="G405" s="105"/>
      <c r="H405" s="13">
        <v>812</v>
      </c>
      <c r="I405" s="7" t="s">
        <v>811</v>
      </c>
      <c r="J405" s="7" t="s">
        <v>6</v>
      </c>
      <c r="K405" s="9">
        <v>18.5</v>
      </c>
    </row>
    <row r="406" spans="1:11" ht="16.5" customHeight="1" x14ac:dyDescent="0.2">
      <c r="A406" s="6">
        <v>761</v>
      </c>
      <c r="B406" s="102" t="s">
        <v>812</v>
      </c>
      <c r="C406" s="103"/>
      <c r="D406" s="102" t="s">
        <v>6</v>
      </c>
      <c r="E406" s="103"/>
      <c r="F406" s="104">
        <v>44</v>
      </c>
      <c r="G406" s="105"/>
      <c r="H406" s="11">
        <v>813</v>
      </c>
      <c r="I406" s="7" t="s">
        <v>813</v>
      </c>
      <c r="J406" s="7" t="s">
        <v>3</v>
      </c>
      <c r="K406" s="9">
        <v>55</v>
      </c>
    </row>
    <row r="407" spans="1:11" ht="16.5" customHeight="1" x14ac:dyDescent="0.2">
      <c r="A407" s="12">
        <v>762</v>
      </c>
      <c r="B407" s="102" t="s">
        <v>814</v>
      </c>
      <c r="C407" s="103"/>
      <c r="D407" s="102" t="s">
        <v>12</v>
      </c>
      <c r="E407" s="103"/>
      <c r="F407" s="104">
        <v>97</v>
      </c>
      <c r="G407" s="105"/>
      <c r="H407" s="13">
        <v>814</v>
      </c>
      <c r="I407" s="7" t="s">
        <v>815</v>
      </c>
      <c r="J407" s="7" t="s">
        <v>3</v>
      </c>
      <c r="K407" s="9">
        <v>13.8</v>
      </c>
    </row>
    <row r="408" spans="1:11" ht="16.5" customHeight="1" x14ac:dyDescent="0.2">
      <c r="A408" s="6">
        <v>763</v>
      </c>
      <c r="B408" s="102" t="s">
        <v>816</v>
      </c>
      <c r="C408" s="103"/>
      <c r="D408" s="102" t="s">
        <v>6</v>
      </c>
      <c r="E408" s="103"/>
      <c r="F408" s="104">
        <v>145</v>
      </c>
      <c r="G408" s="105"/>
      <c r="H408" s="11">
        <v>815</v>
      </c>
      <c r="I408" s="7" t="s">
        <v>817</v>
      </c>
      <c r="J408" s="7" t="s">
        <v>12</v>
      </c>
      <c r="K408" s="9">
        <v>8.1999999999999993</v>
      </c>
    </row>
    <row r="409" spans="1:11" ht="16.5" customHeight="1" x14ac:dyDescent="0.2">
      <c r="A409" s="12">
        <v>764</v>
      </c>
      <c r="B409" s="102" t="s">
        <v>818</v>
      </c>
      <c r="C409" s="103"/>
      <c r="D409" s="102" t="s">
        <v>6</v>
      </c>
      <c r="E409" s="103"/>
      <c r="F409" s="104">
        <v>15.5</v>
      </c>
      <c r="G409" s="105"/>
      <c r="H409" s="13">
        <v>816</v>
      </c>
      <c r="I409" s="7" t="s">
        <v>819</v>
      </c>
      <c r="J409" s="7" t="s">
        <v>37</v>
      </c>
      <c r="K409" s="9">
        <v>50</v>
      </c>
    </row>
    <row r="410" spans="1:11" ht="16.5" customHeight="1" x14ac:dyDescent="0.2">
      <c r="A410" s="6">
        <v>765</v>
      </c>
      <c r="B410" s="102" t="s">
        <v>820</v>
      </c>
      <c r="C410" s="103"/>
      <c r="D410" s="102" t="s">
        <v>6</v>
      </c>
      <c r="E410" s="103"/>
      <c r="F410" s="104">
        <v>20</v>
      </c>
      <c r="G410" s="105"/>
      <c r="H410" s="11">
        <v>817</v>
      </c>
      <c r="I410" s="7" t="s">
        <v>821</v>
      </c>
      <c r="J410" s="7" t="s">
        <v>12</v>
      </c>
      <c r="K410" s="9">
        <v>24</v>
      </c>
    </row>
    <row r="411" spans="1:11" ht="16.5" customHeight="1" x14ac:dyDescent="0.2">
      <c r="A411" s="12">
        <v>766</v>
      </c>
      <c r="B411" s="102" t="s">
        <v>822</v>
      </c>
      <c r="C411" s="103"/>
      <c r="D411" s="102" t="s">
        <v>6</v>
      </c>
      <c r="E411" s="103"/>
      <c r="F411" s="104">
        <v>60</v>
      </c>
      <c r="G411" s="105"/>
      <c r="H411" s="13">
        <v>818</v>
      </c>
      <c r="I411" s="7" t="s">
        <v>823</v>
      </c>
      <c r="J411" s="7" t="s">
        <v>6</v>
      </c>
      <c r="K411" s="9">
        <v>7</v>
      </c>
    </row>
    <row r="412" spans="1:11" ht="16.5" customHeight="1" x14ac:dyDescent="0.2">
      <c r="A412" s="6">
        <v>767</v>
      </c>
      <c r="B412" s="102" t="s">
        <v>824</v>
      </c>
      <c r="C412" s="103"/>
      <c r="D412" s="102" t="s">
        <v>6</v>
      </c>
      <c r="E412" s="103"/>
      <c r="F412" s="104">
        <v>102</v>
      </c>
      <c r="G412" s="105"/>
      <c r="H412" s="11">
        <v>819</v>
      </c>
      <c r="I412" s="7" t="s">
        <v>825</v>
      </c>
      <c r="J412" s="7" t="s">
        <v>6</v>
      </c>
      <c r="K412" s="9">
        <v>22</v>
      </c>
    </row>
    <row r="413" spans="1:11" ht="16.5" customHeight="1" x14ac:dyDescent="0.2">
      <c r="A413" s="12">
        <v>768</v>
      </c>
      <c r="B413" s="102" t="s">
        <v>826</v>
      </c>
      <c r="C413" s="103"/>
      <c r="D413" s="102" t="s">
        <v>6</v>
      </c>
      <c r="E413" s="103"/>
      <c r="F413" s="104">
        <v>59</v>
      </c>
      <c r="G413" s="105"/>
      <c r="H413" s="13">
        <v>820</v>
      </c>
      <c r="I413" s="7" t="s">
        <v>827</v>
      </c>
      <c r="J413" s="7" t="s">
        <v>6</v>
      </c>
      <c r="K413" s="9">
        <v>15.5</v>
      </c>
    </row>
    <row r="414" spans="1:11" ht="16.5" customHeight="1" x14ac:dyDescent="0.2">
      <c r="A414" s="6">
        <v>769</v>
      </c>
      <c r="B414" s="102" t="s">
        <v>828</v>
      </c>
      <c r="C414" s="103"/>
      <c r="D414" s="102" t="s">
        <v>6</v>
      </c>
      <c r="E414" s="103"/>
      <c r="F414" s="104">
        <v>18</v>
      </c>
      <c r="G414" s="105"/>
      <c r="H414" s="11">
        <v>821</v>
      </c>
      <c r="I414" s="7" t="s">
        <v>829</v>
      </c>
      <c r="J414" s="7" t="s">
        <v>3</v>
      </c>
      <c r="K414" s="9">
        <v>12.5</v>
      </c>
    </row>
    <row r="415" spans="1:11" ht="16.5" customHeight="1" x14ac:dyDescent="0.2">
      <c r="A415" s="12">
        <v>770</v>
      </c>
      <c r="B415" s="102" t="s">
        <v>830</v>
      </c>
      <c r="C415" s="103"/>
      <c r="D415" s="102" t="s">
        <v>6</v>
      </c>
      <c r="E415" s="103"/>
      <c r="F415" s="104">
        <v>77</v>
      </c>
      <c r="G415" s="105"/>
      <c r="H415" s="13">
        <v>822</v>
      </c>
      <c r="I415" s="7" t="s">
        <v>831</v>
      </c>
      <c r="J415" s="7" t="s">
        <v>3</v>
      </c>
      <c r="K415" s="9">
        <v>97.5</v>
      </c>
    </row>
    <row r="416" spans="1:11" ht="16.5" customHeight="1" x14ac:dyDescent="0.2">
      <c r="A416" s="6">
        <v>771</v>
      </c>
      <c r="B416" s="102" t="s">
        <v>832</v>
      </c>
      <c r="C416" s="103"/>
      <c r="D416" s="102" t="s">
        <v>3</v>
      </c>
      <c r="E416" s="103"/>
      <c r="F416" s="104">
        <v>90</v>
      </c>
      <c r="G416" s="105"/>
      <c r="H416" s="11">
        <v>823</v>
      </c>
      <c r="I416" s="7" t="s">
        <v>833</v>
      </c>
      <c r="J416" s="7" t="s">
        <v>12</v>
      </c>
      <c r="K416" s="9">
        <v>186</v>
      </c>
    </row>
    <row r="417" spans="1:11" ht="16.5" customHeight="1" x14ac:dyDescent="0.2">
      <c r="A417" s="12">
        <v>772</v>
      </c>
      <c r="B417" s="102" t="s">
        <v>834</v>
      </c>
      <c r="C417" s="103"/>
      <c r="D417" s="102" t="s">
        <v>6</v>
      </c>
      <c r="E417" s="103"/>
      <c r="F417" s="104">
        <v>3.6</v>
      </c>
      <c r="G417" s="105"/>
      <c r="H417" s="13">
        <v>824</v>
      </c>
      <c r="I417" s="7" t="s">
        <v>835</v>
      </c>
      <c r="J417" s="7" t="s">
        <v>3</v>
      </c>
      <c r="K417" s="9">
        <v>186</v>
      </c>
    </row>
    <row r="418" spans="1:11" ht="16.5" customHeight="1" x14ac:dyDescent="0.2">
      <c r="A418" s="6">
        <v>773</v>
      </c>
      <c r="B418" s="102" t="s">
        <v>836</v>
      </c>
      <c r="C418" s="103"/>
      <c r="D418" s="102" t="s">
        <v>3</v>
      </c>
      <c r="E418" s="103"/>
      <c r="F418" s="104">
        <v>25</v>
      </c>
      <c r="G418" s="105"/>
      <c r="H418" s="11">
        <v>825</v>
      </c>
      <c r="I418" s="7" t="s">
        <v>837</v>
      </c>
      <c r="J418" s="7" t="s">
        <v>3</v>
      </c>
      <c r="K418" s="9">
        <v>85</v>
      </c>
    </row>
    <row r="419" spans="1:11" ht="16.5" customHeight="1" x14ac:dyDescent="0.2">
      <c r="A419" s="12">
        <v>774</v>
      </c>
      <c r="B419" s="102" t="s">
        <v>838</v>
      </c>
      <c r="C419" s="103"/>
      <c r="D419" s="102" t="s">
        <v>6</v>
      </c>
      <c r="E419" s="103"/>
      <c r="F419" s="104">
        <v>47.5</v>
      </c>
      <c r="G419" s="105"/>
      <c r="H419" s="13">
        <v>826</v>
      </c>
      <c r="I419" s="7" t="s">
        <v>839</v>
      </c>
      <c r="J419" s="7" t="s">
        <v>37</v>
      </c>
      <c r="K419" s="9">
        <v>30</v>
      </c>
    </row>
    <row r="420" spans="1:11" ht="16.5" customHeight="1" x14ac:dyDescent="0.2">
      <c r="A420" s="6">
        <v>775</v>
      </c>
      <c r="B420" s="102" t="s">
        <v>840</v>
      </c>
      <c r="C420" s="103"/>
      <c r="D420" s="102" t="s">
        <v>6</v>
      </c>
      <c r="E420" s="103"/>
      <c r="F420" s="104">
        <v>88</v>
      </c>
      <c r="G420" s="105"/>
      <c r="H420" s="11">
        <v>827</v>
      </c>
      <c r="I420" s="7" t="s">
        <v>841</v>
      </c>
      <c r="J420" s="7" t="s">
        <v>37</v>
      </c>
      <c r="K420" s="9">
        <v>24.2</v>
      </c>
    </row>
    <row r="421" spans="1:11" ht="16.5" customHeight="1" x14ac:dyDescent="0.2">
      <c r="A421" s="12">
        <v>776</v>
      </c>
      <c r="B421" s="102" t="s">
        <v>842</v>
      </c>
      <c r="C421" s="103"/>
      <c r="D421" s="102" t="s">
        <v>6</v>
      </c>
      <c r="E421" s="103"/>
      <c r="F421" s="104">
        <v>145</v>
      </c>
      <c r="G421" s="105"/>
      <c r="H421" s="13">
        <v>828</v>
      </c>
      <c r="I421" s="7" t="s">
        <v>843</v>
      </c>
      <c r="J421" s="7" t="s">
        <v>37</v>
      </c>
      <c r="K421" s="9">
        <v>14</v>
      </c>
    </row>
    <row r="422" spans="1:11" ht="16.5" customHeight="1" x14ac:dyDescent="0.2">
      <c r="A422" s="6">
        <v>777</v>
      </c>
      <c r="B422" s="102" t="s">
        <v>844</v>
      </c>
      <c r="C422" s="103"/>
      <c r="D422" s="102" t="s">
        <v>6</v>
      </c>
      <c r="E422" s="103"/>
      <c r="F422" s="104">
        <v>31</v>
      </c>
      <c r="G422" s="105"/>
      <c r="H422" s="11">
        <v>829</v>
      </c>
      <c r="I422" s="7" t="s">
        <v>845</v>
      </c>
      <c r="J422" s="7" t="s">
        <v>3</v>
      </c>
      <c r="K422" s="9">
        <v>310</v>
      </c>
    </row>
    <row r="423" spans="1:11" ht="16.5" customHeight="1" x14ac:dyDescent="0.2">
      <c r="A423" s="12">
        <v>778</v>
      </c>
      <c r="B423" s="102" t="s">
        <v>846</v>
      </c>
      <c r="C423" s="103"/>
      <c r="D423" s="102" t="s">
        <v>6</v>
      </c>
      <c r="E423" s="103"/>
      <c r="F423" s="104">
        <v>19</v>
      </c>
      <c r="G423" s="105"/>
      <c r="H423" s="13">
        <v>830</v>
      </c>
      <c r="I423" s="7" t="s">
        <v>847</v>
      </c>
      <c r="J423" s="7" t="s">
        <v>6</v>
      </c>
      <c r="K423" s="9">
        <v>110</v>
      </c>
    </row>
    <row r="424" spans="1:11" ht="16.5" customHeight="1" x14ac:dyDescent="0.2">
      <c r="A424" s="6">
        <v>779</v>
      </c>
      <c r="B424" s="102" t="s">
        <v>848</v>
      </c>
      <c r="C424" s="103"/>
      <c r="D424" s="102" t="s">
        <v>6</v>
      </c>
      <c r="E424" s="103"/>
      <c r="F424" s="104">
        <v>4.5</v>
      </c>
      <c r="G424" s="105"/>
      <c r="H424" s="11">
        <v>831</v>
      </c>
      <c r="I424" s="7" t="s">
        <v>849</v>
      </c>
      <c r="J424" s="7" t="s">
        <v>6</v>
      </c>
      <c r="K424" s="9">
        <v>145</v>
      </c>
    </row>
    <row r="425" spans="1:11" ht="16.5" customHeight="1" x14ac:dyDescent="0.2">
      <c r="A425" s="14">
        <v>780</v>
      </c>
      <c r="B425" s="102" t="s">
        <v>850</v>
      </c>
      <c r="C425" s="103"/>
      <c r="D425" s="102" t="s">
        <v>323</v>
      </c>
      <c r="E425" s="103"/>
      <c r="F425" s="106">
        <v>148</v>
      </c>
      <c r="G425" s="107"/>
      <c r="H425" s="17">
        <v>832</v>
      </c>
      <c r="I425" s="7" t="s">
        <v>851</v>
      </c>
      <c r="J425" s="7" t="s">
        <v>323</v>
      </c>
      <c r="K425" s="15">
        <v>54</v>
      </c>
    </row>
    <row r="426" spans="1:11" ht="14.25" customHeight="1" x14ac:dyDescent="0.2">
      <c r="A426" s="1"/>
      <c r="B426" s="97" t="s">
        <v>1</v>
      </c>
      <c r="C426" s="98"/>
      <c r="D426" s="99"/>
      <c r="E426" s="100"/>
      <c r="F426" s="99"/>
      <c r="G426" s="100"/>
      <c r="H426" s="4"/>
      <c r="I426" s="2" t="s">
        <v>1</v>
      </c>
      <c r="J426" s="3"/>
      <c r="K426" s="3"/>
    </row>
    <row r="427" spans="1:11" ht="16.5" customHeight="1" x14ac:dyDescent="0.2">
      <c r="A427" s="6">
        <v>833</v>
      </c>
      <c r="B427" s="102" t="s">
        <v>852</v>
      </c>
      <c r="C427" s="103"/>
      <c r="D427" s="102" t="s">
        <v>6</v>
      </c>
      <c r="E427" s="103"/>
      <c r="F427" s="104">
        <v>167</v>
      </c>
      <c r="G427" s="105"/>
      <c r="H427" s="11">
        <v>885</v>
      </c>
      <c r="I427" s="7" t="s">
        <v>853</v>
      </c>
      <c r="J427" s="7" t="s">
        <v>6</v>
      </c>
      <c r="K427" s="9">
        <v>35</v>
      </c>
    </row>
    <row r="428" spans="1:11" ht="16.5" customHeight="1" x14ac:dyDescent="0.2">
      <c r="A428" s="6">
        <v>834</v>
      </c>
      <c r="B428" s="102" t="s">
        <v>854</v>
      </c>
      <c r="C428" s="103"/>
      <c r="D428" s="102" t="s">
        <v>6</v>
      </c>
      <c r="E428" s="103"/>
      <c r="F428" s="104">
        <v>120</v>
      </c>
      <c r="G428" s="105"/>
      <c r="H428" s="11">
        <v>886</v>
      </c>
      <c r="I428" s="7" t="s">
        <v>855</v>
      </c>
      <c r="J428" s="7" t="s">
        <v>6</v>
      </c>
      <c r="K428" s="9">
        <v>56.5</v>
      </c>
    </row>
    <row r="429" spans="1:11" ht="16.5" customHeight="1" x14ac:dyDescent="0.2">
      <c r="A429" s="6">
        <v>835</v>
      </c>
      <c r="B429" s="102" t="s">
        <v>856</v>
      </c>
      <c r="C429" s="103"/>
      <c r="D429" s="102" t="s">
        <v>6</v>
      </c>
      <c r="E429" s="103"/>
      <c r="F429" s="104">
        <v>35</v>
      </c>
      <c r="G429" s="105"/>
      <c r="H429" s="11">
        <v>887</v>
      </c>
      <c r="I429" s="7" t="s">
        <v>857</v>
      </c>
      <c r="J429" s="7" t="s">
        <v>6</v>
      </c>
      <c r="K429" s="9">
        <v>59</v>
      </c>
    </row>
    <row r="430" spans="1:11" ht="16.5" customHeight="1" x14ac:dyDescent="0.2">
      <c r="A430" s="6">
        <v>836</v>
      </c>
      <c r="B430" s="102" t="s">
        <v>858</v>
      </c>
      <c r="C430" s="103"/>
      <c r="D430" s="102" t="s">
        <v>37</v>
      </c>
      <c r="E430" s="103"/>
      <c r="F430" s="104">
        <v>29.5</v>
      </c>
      <c r="G430" s="105"/>
      <c r="H430" s="11">
        <v>888</v>
      </c>
      <c r="I430" s="7" t="s">
        <v>859</v>
      </c>
      <c r="J430" s="7" t="s">
        <v>101</v>
      </c>
      <c r="K430" s="9">
        <v>58</v>
      </c>
    </row>
    <row r="431" spans="1:11" ht="16.5" customHeight="1" x14ac:dyDescent="0.2">
      <c r="A431" s="6">
        <v>837</v>
      </c>
      <c r="B431" s="102" t="s">
        <v>860</v>
      </c>
      <c r="C431" s="103"/>
      <c r="D431" s="102" t="s">
        <v>37</v>
      </c>
      <c r="E431" s="103"/>
      <c r="F431" s="104">
        <v>35</v>
      </c>
      <c r="G431" s="105"/>
      <c r="H431" s="11">
        <v>889</v>
      </c>
      <c r="I431" s="7" t="s">
        <v>861</v>
      </c>
      <c r="J431" s="7" t="s">
        <v>6</v>
      </c>
      <c r="K431" s="9">
        <v>25.5</v>
      </c>
    </row>
    <row r="432" spans="1:11" ht="16.5" customHeight="1" x14ac:dyDescent="0.2">
      <c r="A432" s="6">
        <v>838</v>
      </c>
      <c r="B432" s="102" t="s">
        <v>862</v>
      </c>
      <c r="C432" s="103"/>
      <c r="D432" s="102" t="s">
        <v>6</v>
      </c>
      <c r="E432" s="103"/>
      <c r="F432" s="104">
        <v>178</v>
      </c>
      <c r="G432" s="105"/>
      <c r="H432" s="11">
        <v>890</v>
      </c>
      <c r="I432" s="7" t="s">
        <v>863</v>
      </c>
      <c r="J432" s="7" t="s">
        <v>6</v>
      </c>
      <c r="K432" s="9">
        <v>20</v>
      </c>
    </row>
    <row r="433" spans="1:11" ht="16.5" customHeight="1" x14ac:dyDescent="0.2">
      <c r="A433" s="6">
        <v>839</v>
      </c>
      <c r="B433" s="102" t="s">
        <v>864</v>
      </c>
      <c r="C433" s="103"/>
      <c r="D433" s="102" t="s">
        <v>6</v>
      </c>
      <c r="E433" s="103"/>
      <c r="F433" s="104">
        <v>5</v>
      </c>
      <c r="G433" s="105"/>
      <c r="H433" s="11">
        <v>891</v>
      </c>
      <c r="I433" s="7" t="s">
        <v>865</v>
      </c>
      <c r="J433" s="7" t="s">
        <v>101</v>
      </c>
      <c r="K433" s="9">
        <v>165</v>
      </c>
    </row>
    <row r="434" spans="1:11" ht="16.5" customHeight="1" x14ac:dyDescent="0.2">
      <c r="A434" s="6">
        <v>840</v>
      </c>
      <c r="B434" s="102" t="s">
        <v>866</v>
      </c>
      <c r="C434" s="103"/>
      <c r="D434" s="102" t="s">
        <v>6</v>
      </c>
      <c r="E434" s="103"/>
      <c r="F434" s="104">
        <v>5</v>
      </c>
      <c r="G434" s="105"/>
      <c r="H434" s="11">
        <v>892</v>
      </c>
      <c r="I434" s="7" t="s">
        <v>867</v>
      </c>
      <c r="J434" s="7" t="s">
        <v>6</v>
      </c>
      <c r="K434" s="9">
        <v>23.5</v>
      </c>
    </row>
    <row r="435" spans="1:11" ht="16.5" customHeight="1" x14ac:dyDescent="0.2">
      <c r="A435" s="6">
        <v>841</v>
      </c>
      <c r="B435" s="102" t="s">
        <v>868</v>
      </c>
      <c r="C435" s="103"/>
      <c r="D435" s="102" t="s">
        <v>6</v>
      </c>
      <c r="E435" s="103"/>
      <c r="F435" s="104">
        <v>200</v>
      </c>
      <c r="G435" s="105"/>
      <c r="H435" s="11">
        <v>893</v>
      </c>
      <c r="I435" s="7" t="s">
        <v>869</v>
      </c>
      <c r="J435" s="7" t="s">
        <v>6</v>
      </c>
      <c r="K435" s="9">
        <v>250</v>
      </c>
    </row>
    <row r="436" spans="1:11" ht="16.5" customHeight="1" x14ac:dyDescent="0.2">
      <c r="A436" s="6">
        <v>842</v>
      </c>
      <c r="B436" s="102" t="s">
        <v>870</v>
      </c>
      <c r="C436" s="103"/>
      <c r="D436" s="102" t="s">
        <v>101</v>
      </c>
      <c r="E436" s="103"/>
      <c r="F436" s="104">
        <v>99</v>
      </c>
      <c r="G436" s="105"/>
      <c r="H436" s="11">
        <v>894</v>
      </c>
      <c r="I436" s="7" t="s">
        <v>871</v>
      </c>
      <c r="J436" s="7" t="s">
        <v>6</v>
      </c>
      <c r="K436" s="9">
        <v>38</v>
      </c>
    </row>
    <row r="437" spans="1:11" ht="16.5" customHeight="1" x14ac:dyDescent="0.2">
      <c r="A437" s="6">
        <v>843</v>
      </c>
      <c r="B437" s="102" t="s">
        <v>872</v>
      </c>
      <c r="C437" s="103"/>
      <c r="D437" s="102" t="s">
        <v>3</v>
      </c>
      <c r="E437" s="103"/>
      <c r="F437" s="104">
        <v>36</v>
      </c>
      <c r="G437" s="105"/>
      <c r="H437" s="11">
        <v>895</v>
      </c>
      <c r="I437" s="7" t="s">
        <v>873</v>
      </c>
      <c r="J437" s="7" t="s">
        <v>6</v>
      </c>
      <c r="K437" s="9">
        <v>30</v>
      </c>
    </row>
    <row r="438" spans="1:11" ht="16.5" customHeight="1" x14ac:dyDescent="0.2">
      <c r="A438" s="6">
        <v>844</v>
      </c>
      <c r="B438" s="102" t="s">
        <v>874</v>
      </c>
      <c r="C438" s="103"/>
      <c r="D438" s="102" t="s">
        <v>101</v>
      </c>
      <c r="E438" s="103"/>
      <c r="F438" s="104">
        <v>8</v>
      </c>
      <c r="G438" s="105"/>
      <c r="H438" s="11">
        <v>896</v>
      </c>
      <c r="I438" s="7" t="s">
        <v>875</v>
      </c>
      <c r="J438" s="7" t="s">
        <v>6</v>
      </c>
      <c r="K438" s="9">
        <v>22.5</v>
      </c>
    </row>
    <row r="439" spans="1:11" ht="16.5" customHeight="1" x14ac:dyDescent="0.2">
      <c r="A439" s="6">
        <v>845</v>
      </c>
      <c r="B439" s="102" t="s">
        <v>876</v>
      </c>
      <c r="C439" s="103"/>
      <c r="D439" s="102" t="s">
        <v>101</v>
      </c>
      <c r="E439" s="103"/>
      <c r="F439" s="104">
        <v>8.5</v>
      </c>
      <c r="G439" s="105"/>
      <c r="H439" s="11">
        <v>897</v>
      </c>
      <c r="I439" s="7" t="s">
        <v>877</v>
      </c>
      <c r="J439" s="7" t="s">
        <v>3</v>
      </c>
      <c r="K439" s="9">
        <v>8</v>
      </c>
    </row>
    <row r="440" spans="1:11" ht="16.5" customHeight="1" x14ac:dyDescent="0.2">
      <c r="A440" s="12">
        <v>846</v>
      </c>
      <c r="B440" s="102" t="s">
        <v>878</v>
      </c>
      <c r="C440" s="103"/>
      <c r="D440" s="102" t="s">
        <v>101</v>
      </c>
      <c r="E440" s="103"/>
      <c r="F440" s="104">
        <v>35</v>
      </c>
      <c r="G440" s="105"/>
      <c r="H440" s="13">
        <v>898</v>
      </c>
      <c r="I440" s="7" t="s">
        <v>879</v>
      </c>
      <c r="J440" s="7" t="s">
        <v>6</v>
      </c>
      <c r="K440" s="9">
        <v>132</v>
      </c>
    </row>
    <row r="441" spans="1:11" ht="16.5" customHeight="1" x14ac:dyDescent="0.2">
      <c r="A441" s="6">
        <v>847</v>
      </c>
      <c r="B441" s="102" t="s">
        <v>880</v>
      </c>
      <c r="C441" s="103"/>
      <c r="D441" s="102" t="s">
        <v>3</v>
      </c>
      <c r="E441" s="103"/>
      <c r="F441" s="104">
        <v>19</v>
      </c>
      <c r="G441" s="105"/>
      <c r="H441" s="11">
        <v>899</v>
      </c>
      <c r="I441" s="7" t="s">
        <v>881</v>
      </c>
      <c r="J441" s="7" t="s">
        <v>6</v>
      </c>
      <c r="K441" s="9">
        <v>28</v>
      </c>
    </row>
    <row r="442" spans="1:11" ht="16.5" customHeight="1" x14ac:dyDescent="0.2">
      <c r="A442" s="12">
        <v>848</v>
      </c>
      <c r="B442" s="102" t="s">
        <v>882</v>
      </c>
      <c r="C442" s="103"/>
      <c r="D442" s="102" t="s">
        <v>101</v>
      </c>
      <c r="E442" s="103"/>
      <c r="F442" s="104">
        <v>7.5</v>
      </c>
      <c r="G442" s="105"/>
      <c r="H442" s="13">
        <v>900</v>
      </c>
      <c r="I442" s="7" t="s">
        <v>883</v>
      </c>
      <c r="J442" s="7" t="s">
        <v>516</v>
      </c>
      <c r="K442" s="9">
        <v>1.5</v>
      </c>
    </row>
    <row r="443" spans="1:11" ht="16.5" customHeight="1" x14ac:dyDescent="0.2">
      <c r="A443" s="6">
        <v>849</v>
      </c>
      <c r="B443" s="102" t="s">
        <v>884</v>
      </c>
      <c r="C443" s="103"/>
      <c r="D443" s="102" t="s">
        <v>101</v>
      </c>
      <c r="E443" s="103"/>
      <c r="F443" s="104">
        <v>7</v>
      </c>
      <c r="G443" s="105"/>
      <c r="H443" s="11">
        <v>901</v>
      </c>
      <c r="I443" s="7" t="s">
        <v>885</v>
      </c>
      <c r="J443" s="7" t="s">
        <v>6</v>
      </c>
      <c r="K443" s="9">
        <v>18.5</v>
      </c>
    </row>
    <row r="444" spans="1:11" ht="16.5" customHeight="1" x14ac:dyDescent="0.2">
      <c r="A444" s="12">
        <v>850</v>
      </c>
      <c r="B444" s="102" t="s">
        <v>886</v>
      </c>
      <c r="C444" s="103"/>
      <c r="D444" s="102" t="s">
        <v>101</v>
      </c>
      <c r="E444" s="103"/>
      <c r="F444" s="104">
        <v>7.5</v>
      </c>
      <c r="G444" s="105"/>
      <c r="H444" s="13">
        <v>902</v>
      </c>
      <c r="I444" s="7" t="s">
        <v>887</v>
      </c>
      <c r="J444" s="7" t="s">
        <v>37</v>
      </c>
      <c r="K444" s="9">
        <v>55</v>
      </c>
    </row>
    <row r="445" spans="1:11" ht="16.5" customHeight="1" x14ac:dyDescent="0.2">
      <c r="A445" s="6">
        <v>851</v>
      </c>
      <c r="B445" s="102" t="s">
        <v>888</v>
      </c>
      <c r="C445" s="103"/>
      <c r="D445" s="102" t="s">
        <v>101</v>
      </c>
      <c r="E445" s="103"/>
      <c r="F445" s="104">
        <v>33</v>
      </c>
      <c r="G445" s="105"/>
      <c r="H445" s="11">
        <v>903</v>
      </c>
      <c r="I445" s="7" t="s">
        <v>889</v>
      </c>
      <c r="J445" s="7" t="s">
        <v>3</v>
      </c>
      <c r="K445" s="9">
        <v>18</v>
      </c>
    </row>
    <row r="446" spans="1:11" ht="16.5" customHeight="1" x14ac:dyDescent="0.2">
      <c r="A446" s="12">
        <v>852</v>
      </c>
      <c r="B446" s="102" t="s">
        <v>890</v>
      </c>
      <c r="C446" s="103"/>
      <c r="D446" s="102" t="s">
        <v>3</v>
      </c>
      <c r="E446" s="103"/>
      <c r="F446" s="104">
        <v>17.5</v>
      </c>
      <c r="G446" s="105"/>
      <c r="H446" s="13">
        <v>904</v>
      </c>
      <c r="I446" s="7" t="s">
        <v>891</v>
      </c>
      <c r="J446" s="7" t="s">
        <v>37</v>
      </c>
      <c r="K446" s="9">
        <v>41</v>
      </c>
    </row>
    <row r="447" spans="1:11" ht="16.5" customHeight="1" x14ac:dyDescent="0.2">
      <c r="A447" s="6">
        <v>853</v>
      </c>
      <c r="B447" s="102" t="s">
        <v>892</v>
      </c>
      <c r="C447" s="103"/>
      <c r="D447" s="102" t="s">
        <v>605</v>
      </c>
      <c r="E447" s="103"/>
      <c r="F447" s="104">
        <v>10</v>
      </c>
      <c r="G447" s="105"/>
      <c r="H447" s="11">
        <v>905</v>
      </c>
      <c r="I447" s="7" t="s">
        <v>893</v>
      </c>
      <c r="J447" s="7" t="s">
        <v>37</v>
      </c>
      <c r="K447" s="9">
        <v>17</v>
      </c>
    </row>
    <row r="448" spans="1:11" ht="16.5" customHeight="1" x14ac:dyDescent="0.2">
      <c r="A448" s="12">
        <v>854</v>
      </c>
      <c r="B448" s="102" t="s">
        <v>894</v>
      </c>
      <c r="C448" s="103"/>
      <c r="D448" s="102" t="s">
        <v>3</v>
      </c>
      <c r="E448" s="103"/>
      <c r="F448" s="104">
        <v>52</v>
      </c>
      <c r="G448" s="105"/>
      <c r="H448" s="13">
        <v>906</v>
      </c>
      <c r="I448" s="7" t="s">
        <v>895</v>
      </c>
      <c r="J448" s="7" t="s">
        <v>37</v>
      </c>
      <c r="K448" s="9">
        <v>27.5</v>
      </c>
    </row>
    <row r="449" spans="1:11" ht="16.5" customHeight="1" x14ac:dyDescent="0.2">
      <c r="A449" s="6">
        <v>855</v>
      </c>
      <c r="B449" s="102" t="s">
        <v>896</v>
      </c>
      <c r="C449" s="103"/>
      <c r="D449" s="102" t="s">
        <v>3</v>
      </c>
      <c r="E449" s="103"/>
      <c r="F449" s="104">
        <v>57</v>
      </c>
      <c r="G449" s="105"/>
      <c r="H449" s="11">
        <v>907</v>
      </c>
      <c r="I449" s="7" t="s">
        <v>897</v>
      </c>
      <c r="J449" s="7" t="s">
        <v>6</v>
      </c>
      <c r="K449" s="9">
        <v>21.5</v>
      </c>
    </row>
    <row r="450" spans="1:11" ht="16.5" customHeight="1" x14ac:dyDescent="0.2">
      <c r="A450" s="12">
        <v>856</v>
      </c>
      <c r="B450" s="102" t="s">
        <v>898</v>
      </c>
      <c r="C450" s="103"/>
      <c r="D450" s="102" t="s">
        <v>123</v>
      </c>
      <c r="E450" s="103"/>
      <c r="F450" s="104">
        <v>22</v>
      </c>
      <c r="G450" s="105"/>
      <c r="H450" s="13">
        <v>908</v>
      </c>
      <c r="I450" s="7" t="s">
        <v>899</v>
      </c>
      <c r="J450" s="7" t="s">
        <v>900</v>
      </c>
      <c r="K450" s="9">
        <v>100</v>
      </c>
    </row>
    <row r="451" spans="1:11" ht="16.5" customHeight="1" x14ac:dyDescent="0.2">
      <c r="A451" s="6">
        <v>857</v>
      </c>
      <c r="B451" s="102" t="s">
        <v>901</v>
      </c>
      <c r="C451" s="103"/>
      <c r="D451" s="102" t="s">
        <v>6</v>
      </c>
      <c r="E451" s="103"/>
      <c r="F451" s="104">
        <v>61.5</v>
      </c>
      <c r="G451" s="105"/>
      <c r="H451" s="11">
        <v>909</v>
      </c>
      <c r="I451" s="7" t="s">
        <v>902</v>
      </c>
      <c r="J451" s="7" t="s">
        <v>6</v>
      </c>
      <c r="K451" s="9">
        <v>80</v>
      </c>
    </row>
    <row r="452" spans="1:11" ht="16.5" customHeight="1" x14ac:dyDescent="0.2">
      <c r="A452" s="12">
        <v>858</v>
      </c>
      <c r="B452" s="102" t="s">
        <v>903</v>
      </c>
      <c r="C452" s="103"/>
      <c r="D452" s="102" t="s">
        <v>6</v>
      </c>
      <c r="E452" s="103"/>
      <c r="F452" s="104">
        <v>240</v>
      </c>
      <c r="G452" s="105"/>
      <c r="H452" s="13">
        <v>910</v>
      </c>
      <c r="I452" s="7" t="s">
        <v>904</v>
      </c>
      <c r="J452" s="7" t="s">
        <v>6</v>
      </c>
      <c r="K452" s="9">
        <v>258</v>
      </c>
    </row>
    <row r="453" spans="1:11" ht="16.5" customHeight="1" x14ac:dyDescent="0.2">
      <c r="A453" s="6">
        <v>859</v>
      </c>
      <c r="B453" s="102" t="s">
        <v>905</v>
      </c>
      <c r="C453" s="103"/>
      <c r="D453" s="102" t="s">
        <v>6</v>
      </c>
      <c r="E453" s="103"/>
      <c r="F453" s="104">
        <v>178</v>
      </c>
      <c r="G453" s="105"/>
      <c r="H453" s="11">
        <v>911</v>
      </c>
      <c r="I453" s="7" t="s">
        <v>906</v>
      </c>
      <c r="J453" s="7" t="s">
        <v>6</v>
      </c>
      <c r="K453" s="9">
        <v>119</v>
      </c>
    </row>
    <row r="454" spans="1:11" ht="16.5" customHeight="1" x14ac:dyDescent="0.2">
      <c r="A454" s="12">
        <v>860</v>
      </c>
      <c r="B454" s="102" t="s">
        <v>907</v>
      </c>
      <c r="C454" s="103"/>
      <c r="D454" s="102" t="s">
        <v>6</v>
      </c>
      <c r="E454" s="103"/>
      <c r="F454" s="104">
        <v>125</v>
      </c>
      <c r="G454" s="105"/>
      <c r="H454" s="13">
        <v>912</v>
      </c>
      <c r="I454" s="7" t="s">
        <v>908</v>
      </c>
      <c r="J454" s="7" t="s">
        <v>3</v>
      </c>
      <c r="K454" s="9">
        <v>230</v>
      </c>
    </row>
    <row r="455" spans="1:11" ht="16.5" customHeight="1" x14ac:dyDescent="0.2">
      <c r="A455" s="6">
        <v>861</v>
      </c>
      <c r="B455" s="102" t="s">
        <v>909</v>
      </c>
      <c r="C455" s="103"/>
      <c r="D455" s="102" t="s">
        <v>6</v>
      </c>
      <c r="E455" s="103"/>
      <c r="F455" s="104">
        <v>52</v>
      </c>
      <c r="G455" s="105"/>
      <c r="H455" s="11">
        <v>913</v>
      </c>
      <c r="I455" s="7" t="s">
        <v>910</v>
      </c>
      <c r="J455" s="7" t="s">
        <v>6</v>
      </c>
      <c r="K455" s="9">
        <v>26</v>
      </c>
    </row>
    <row r="456" spans="1:11" ht="16.5" customHeight="1" x14ac:dyDescent="0.2">
      <c r="A456" s="12">
        <v>862</v>
      </c>
      <c r="B456" s="102" t="s">
        <v>911</v>
      </c>
      <c r="C456" s="103"/>
      <c r="D456" s="102" t="s">
        <v>6</v>
      </c>
      <c r="E456" s="103"/>
      <c r="F456" s="104">
        <v>60</v>
      </c>
      <c r="G456" s="105"/>
      <c r="H456" s="13">
        <v>914</v>
      </c>
      <c r="I456" s="7" t="s">
        <v>912</v>
      </c>
      <c r="J456" s="7" t="s">
        <v>6</v>
      </c>
      <c r="K456" s="9">
        <v>44.5</v>
      </c>
    </row>
    <row r="457" spans="1:11" ht="16.5" customHeight="1" x14ac:dyDescent="0.2">
      <c r="A457" s="6">
        <v>863</v>
      </c>
      <c r="B457" s="102" t="s">
        <v>913</v>
      </c>
      <c r="C457" s="103"/>
      <c r="D457" s="102" t="s">
        <v>6</v>
      </c>
      <c r="E457" s="103"/>
      <c r="F457" s="104">
        <v>27</v>
      </c>
      <c r="G457" s="105"/>
      <c r="H457" s="11">
        <v>915</v>
      </c>
      <c r="I457" s="7" t="s">
        <v>914</v>
      </c>
      <c r="J457" s="7" t="s">
        <v>6</v>
      </c>
      <c r="K457" s="9">
        <v>37.5</v>
      </c>
    </row>
    <row r="458" spans="1:11" ht="16.5" customHeight="1" x14ac:dyDescent="0.2">
      <c r="A458" s="12">
        <v>864</v>
      </c>
      <c r="B458" s="102" t="s">
        <v>915</v>
      </c>
      <c r="C458" s="103"/>
      <c r="D458" s="102" t="s">
        <v>6</v>
      </c>
      <c r="E458" s="103"/>
      <c r="F458" s="104">
        <v>23</v>
      </c>
      <c r="G458" s="105"/>
      <c r="H458" s="13">
        <v>916</v>
      </c>
      <c r="I458" s="7" t="s">
        <v>916</v>
      </c>
      <c r="J458" s="7" t="s">
        <v>6</v>
      </c>
      <c r="K458" s="9">
        <v>37</v>
      </c>
    </row>
    <row r="459" spans="1:11" ht="16.5" customHeight="1" x14ac:dyDescent="0.2">
      <c r="A459" s="6">
        <v>865</v>
      </c>
      <c r="B459" s="102" t="s">
        <v>917</v>
      </c>
      <c r="C459" s="103"/>
      <c r="D459" s="102" t="s">
        <v>3</v>
      </c>
      <c r="E459" s="103"/>
      <c r="F459" s="104">
        <v>72</v>
      </c>
      <c r="G459" s="105"/>
      <c r="H459" s="11">
        <v>917</v>
      </c>
      <c r="I459" s="7" t="s">
        <v>918</v>
      </c>
      <c r="J459" s="7" t="s">
        <v>3</v>
      </c>
      <c r="K459" s="9">
        <v>135</v>
      </c>
    </row>
    <row r="460" spans="1:11" ht="16.5" customHeight="1" x14ac:dyDescent="0.2">
      <c r="A460" s="12">
        <v>866</v>
      </c>
      <c r="B460" s="102" t="s">
        <v>919</v>
      </c>
      <c r="C460" s="103"/>
      <c r="D460" s="102" t="s">
        <v>3</v>
      </c>
      <c r="E460" s="103"/>
      <c r="F460" s="104">
        <v>28.5</v>
      </c>
      <c r="G460" s="105"/>
      <c r="H460" s="13">
        <v>918</v>
      </c>
      <c r="I460" s="7" t="s">
        <v>920</v>
      </c>
      <c r="J460" s="7" t="s">
        <v>3</v>
      </c>
      <c r="K460" s="9">
        <v>95</v>
      </c>
    </row>
    <row r="461" spans="1:11" ht="16.5" customHeight="1" x14ac:dyDescent="0.2">
      <c r="A461" s="6">
        <v>867</v>
      </c>
      <c r="B461" s="102" t="s">
        <v>921</v>
      </c>
      <c r="C461" s="103"/>
      <c r="D461" s="102" t="s">
        <v>6</v>
      </c>
      <c r="E461" s="103"/>
      <c r="F461" s="104">
        <v>202.5</v>
      </c>
      <c r="G461" s="105"/>
      <c r="H461" s="11">
        <v>919</v>
      </c>
      <c r="I461" s="7" t="s">
        <v>922</v>
      </c>
      <c r="J461" s="7" t="s">
        <v>6</v>
      </c>
      <c r="K461" s="9">
        <v>29.5</v>
      </c>
    </row>
    <row r="462" spans="1:11" ht="16.5" customHeight="1" x14ac:dyDescent="0.2">
      <c r="A462" s="12">
        <v>868</v>
      </c>
      <c r="B462" s="102" t="s">
        <v>923</v>
      </c>
      <c r="C462" s="103"/>
      <c r="D462" s="102" t="s">
        <v>3</v>
      </c>
      <c r="E462" s="103"/>
      <c r="F462" s="104">
        <v>85.6</v>
      </c>
      <c r="G462" s="105"/>
      <c r="H462" s="13">
        <v>920</v>
      </c>
      <c r="I462" s="7" t="s">
        <v>924</v>
      </c>
      <c r="J462" s="7" t="s">
        <v>6</v>
      </c>
      <c r="K462" s="9">
        <v>25</v>
      </c>
    </row>
    <row r="463" spans="1:11" ht="16.5" customHeight="1" x14ac:dyDescent="0.2">
      <c r="A463" s="6">
        <v>869</v>
      </c>
      <c r="B463" s="102" t="s">
        <v>925</v>
      </c>
      <c r="C463" s="103"/>
      <c r="D463" s="102" t="s">
        <v>6</v>
      </c>
      <c r="E463" s="103"/>
      <c r="F463" s="104">
        <v>23.5</v>
      </c>
      <c r="G463" s="105"/>
      <c r="H463" s="11">
        <v>921</v>
      </c>
      <c r="I463" s="7" t="s">
        <v>926</v>
      </c>
      <c r="J463" s="7" t="s">
        <v>6</v>
      </c>
      <c r="K463" s="9">
        <v>24</v>
      </c>
    </row>
    <row r="464" spans="1:11" ht="16.5" customHeight="1" x14ac:dyDescent="0.2">
      <c r="A464" s="12">
        <v>870</v>
      </c>
      <c r="B464" s="102" t="s">
        <v>927</v>
      </c>
      <c r="C464" s="103"/>
      <c r="D464" s="102" t="s">
        <v>6</v>
      </c>
      <c r="E464" s="103"/>
      <c r="F464" s="104">
        <v>35</v>
      </c>
      <c r="G464" s="105"/>
      <c r="H464" s="13">
        <v>922</v>
      </c>
      <c r="I464" s="7" t="s">
        <v>928</v>
      </c>
      <c r="J464" s="7" t="s">
        <v>6</v>
      </c>
      <c r="K464" s="9">
        <v>97</v>
      </c>
    </row>
    <row r="465" spans="1:11" ht="16.5" customHeight="1" x14ac:dyDescent="0.2">
      <c r="A465" s="6">
        <v>871</v>
      </c>
      <c r="B465" s="102" t="s">
        <v>929</v>
      </c>
      <c r="C465" s="103"/>
      <c r="D465" s="102" t="s">
        <v>6</v>
      </c>
      <c r="E465" s="103"/>
      <c r="F465" s="104">
        <v>32.5</v>
      </c>
      <c r="G465" s="105"/>
      <c r="H465" s="11">
        <v>923</v>
      </c>
      <c r="I465" s="7" t="s">
        <v>930</v>
      </c>
      <c r="J465" s="7" t="s">
        <v>6</v>
      </c>
      <c r="K465" s="9">
        <v>25</v>
      </c>
    </row>
    <row r="466" spans="1:11" ht="16.5" customHeight="1" x14ac:dyDescent="0.2">
      <c r="A466" s="12">
        <v>872</v>
      </c>
      <c r="B466" s="102" t="s">
        <v>931</v>
      </c>
      <c r="C466" s="103"/>
      <c r="D466" s="102" t="s">
        <v>6</v>
      </c>
      <c r="E466" s="103"/>
      <c r="F466" s="104">
        <v>28</v>
      </c>
      <c r="G466" s="105"/>
      <c r="H466" s="13">
        <v>924</v>
      </c>
      <c r="I466" s="7" t="s">
        <v>932</v>
      </c>
      <c r="J466" s="7" t="s">
        <v>608</v>
      </c>
      <c r="K466" s="9">
        <v>1.2</v>
      </c>
    </row>
    <row r="467" spans="1:11" ht="16.5" customHeight="1" x14ac:dyDescent="0.2">
      <c r="A467" s="6">
        <v>873</v>
      </c>
      <c r="B467" s="102" t="s">
        <v>933</v>
      </c>
      <c r="C467" s="103"/>
      <c r="D467" s="102" t="s">
        <v>6</v>
      </c>
      <c r="E467" s="103"/>
      <c r="F467" s="104">
        <v>33</v>
      </c>
      <c r="G467" s="105"/>
      <c r="H467" s="11">
        <v>925</v>
      </c>
      <c r="I467" s="7" t="s">
        <v>934</v>
      </c>
      <c r="J467" s="7" t="s">
        <v>6</v>
      </c>
      <c r="K467" s="9">
        <v>35</v>
      </c>
    </row>
    <row r="468" spans="1:11" ht="16.5" customHeight="1" x14ac:dyDescent="0.2">
      <c r="A468" s="12">
        <v>874</v>
      </c>
      <c r="B468" s="102" t="s">
        <v>935</v>
      </c>
      <c r="C468" s="103"/>
      <c r="D468" s="102" t="s">
        <v>6</v>
      </c>
      <c r="E468" s="103"/>
      <c r="F468" s="104">
        <v>175</v>
      </c>
      <c r="G468" s="105"/>
      <c r="H468" s="13">
        <v>926</v>
      </c>
      <c r="I468" s="7" t="s">
        <v>936</v>
      </c>
      <c r="J468" s="7" t="s">
        <v>6</v>
      </c>
      <c r="K468" s="9">
        <v>37</v>
      </c>
    </row>
    <row r="469" spans="1:11" ht="16.5" customHeight="1" x14ac:dyDescent="0.2">
      <c r="A469" s="6">
        <v>875</v>
      </c>
      <c r="B469" s="102" t="s">
        <v>937</v>
      </c>
      <c r="C469" s="103"/>
      <c r="D469" s="102" t="s">
        <v>3</v>
      </c>
      <c r="E469" s="103"/>
      <c r="F469" s="104">
        <v>5.5</v>
      </c>
      <c r="G469" s="105"/>
      <c r="H469" s="11">
        <v>927</v>
      </c>
      <c r="I469" s="7" t="s">
        <v>938</v>
      </c>
      <c r="J469" s="7" t="s">
        <v>3</v>
      </c>
      <c r="K469" s="9">
        <v>38</v>
      </c>
    </row>
    <row r="470" spans="1:11" ht="16.5" customHeight="1" x14ac:dyDescent="0.2">
      <c r="A470" s="12">
        <v>876</v>
      </c>
      <c r="B470" s="102" t="s">
        <v>939</v>
      </c>
      <c r="C470" s="103"/>
      <c r="D470" s="102" t="s">
        <v>940</v>
      </c>
      <c r="E470" s="103"/>
      <c r="F470" s="104">
        <v>105</v>
      </c>
      <c r="G470" s="105"/>
      <c r="H470" s="13">
        <v>928</v>
      </c>
      <c r="I470" s="7" t="s">
        <v>941</v>
      </c>
      <c r="J470" s="7" t="s">
        <v>101</v>
      </c>
      <c r="K470" s="9">
        <v>12</v>
      </c>
    </row>
    <row r="471" spans="1:11" ht="16.5" customHeight="1" x14ac:dyDescent="0.2">
      <c r="A471" s="6">
        <v>877</v>
      </c>
      <c r="B471" s="102" t="s">
        <v>942</v>
      </c>
      <c r="C471" s="103"/>
      <c r="D471" s="102" t="s">
        <v>3</v>
      </c>
      <c r="E471" s="103"/>
      <c r="F471" s="104">
        <v>15</v>
      </c>
      <c r="G471" s="105"/>
      <c r="H471" s="11">
        <v>929</v>
      </c>
      <c r="I471" s="7" t="s">
        <v>943</v>
      </c>
      <c r="J471" s="7" t="s">
        <v>6</v>
      </c>
      <c r="K471" s="9">
        <v>28</v>
      </c>
    </row>
    <row r="472" spans="1:11" ht="16.5" customHeight="1" x14ac:dyDescent="0.2">
      <c r="A472" s="12">
        <v>878</v>
      </c>
      <c r="B472" s="102" t="s">
        <v>944</v>
      </c>
      <c r="C472" s="103"/>
      <c r="D472" s="102" t="s">
        <v>6</v>
      </c>
      <c r="E472" s="103"/>
      <c r="F472" s="104">
        <v>12.2</v>
      </c>
      <c r="G472" s="105"/>
      <c r="H472" s="13">
        <v>930</v>
      </c>
      <c r="I472" s="7" t="s">
        <v>945</v>
      </c>
      <c r="J472" s="7" t="s">
        <v>6</v>
      </c>
      <c r="K472" s="9">
        <v>177</v>
      </c>
    </row>
    <row r="473" spans="1:11" ht="16.5" customHeight="1" x14ac:dyDescent="0.2">
      <c r="A473" s="6">
        <v>879</v>
      </c>
      <c r="B473" s="102" t="s">
        <v>946</v>
      </c>
      <c r="C473" s="103"/>
      <c r="D473" s="102" t="s">
        <v>6</v>
      </c>
      <c r="E473" s="103"/>
      <c r="F473" s="104">
        <v>12.5</v>
      </c>
      <c r="G473" s="105"/>
      <c r="H473" s="11">
        <v>931</v>
      </c>
      <c r="I473" s="7" t="s">
        <v>947</v>
      </c>
      <c r="J473" s="7" t="s">
        <v>6</v>
      </c>
      <c r="K473" s="9">
        <v>73</v>
      </c>
    </row>
    <row r="474" spans="1:11" ht="16.5" customHeight="1" x14ac:dyDescent="0.2">
      <c r="A474" s="12">
        <v>880</v>
      </c>
      <c r="B474" s="102" t="s">
        <v>948</v>
      </c>
      <c r="C474" s="103"/>
      <c r="D474" s="102" t="s">
        <v>6</v>
      </c>
      <c r="E474" s="103"/>
      <c r="F474" s="104">
        <v>6.5</v>
      </c>
      <c r="G474" s="105"/>
      <c r="H474" s="13">
        <v>932</v>
      </c>
      <c r="I474" s="7" t="s">
        <v>949</v>
      </c>
      <c r="J474" s="7" t="s">
        <v>6</v>
      </c>
      <c r="K474" s="9">
        <v>38.200000000000003</v>
      </c>
    </row>
    <row r="475" spans="1:11" ht="16.5" customHeight="1" x14ac:dyDescent="0.2">
      <c r="A475" s="6">
        <v>881</v>
      </c>
      <c r="B475" s="102" t="s">
        <v>950</v>
      </c>
      <c r="C475" s="103"/>
      <c r="D475" s="102" t="s">
        <v>6</v>
      </c>
      <c r="E475" s="103"/>
      <c r="F475" s="104">
        <v>60</v>
      </c>
      <c r="G475" s="105"/>
      <c r="H475" s="11">
        <v>933</v>
      </c>
      <c r="I475" s="7" t="s">
        <v>951</v>
      </c>
      <c r="J475" s="7" t="s">
        <v>6</v>
      </c>
      <c r="K475" s="9">
        <v>54</v>
      </c>
    </row>
    <row r="476" spans="1:11" ht="16.5" customHeight="1" x14ac:dyDescent="0.2">
      <c r="A476" s="12">
        <v>882</v>
      </c>
      <c r="B476" s="102" t="s">
        <v>952</v>
      </c>
      <c r="C476" s="103"/>
      <c r="D476" s="102" t="s">
        <v>37</v>
      </c>
      <c r="E476" s="103"/>
      <c r="F476" s="104">
        <v>69.5</v>
      </c>
      <c r="G476" s="105"/>
      <c r="H476" s="13">
        <v>934</v>
      </c>
      <c r="I476" s="7" t="s">
        <v>953</v>
      </c>
      <c r="J476" s="7" t="s">
        <v>6</v>
      </c>
      <c r="K476" s="9">
        <v>87</v>
      </c>
    </row>
    <row r="477" spans="1:11" ht="16.5" customHeight="1" x14ac:dyDescent="0.2">
      <c r="A477" s="6">
        <v>883</v>
      </c>
      <c r="B477" s="102" t="s">
        <v>954</v>
      </c>
      <c r="C477" s="103"/>
      <c r="D477" s="102" t="s">
        <v>37</v>
      </c>
      <c r="E477" s="103"/>
      <c r="F477" s="104">
        <v>105</v>
      </c>
      <c r="G477" s="105"/>
      <c r="H477" s="11">
        <v>935</v>
      </c>
      <c r="I477" s="7" t="s">
        <v>955</v>
      </c>
      <c r="J477" s="7" t="s">
        <v>6</v>
      </c>
      <c r="K477" s="9">
        <v>34</v>
      </c>
    </row>
    <row r="478" spans="1:11" ht="16.5" customHeight="1" x14ac:dyDescent="0.2">
      <c r="A478" s="14">
        <v>884</v>
      </c>
      <c r="B478" s="102" t="s">
        <v>956</v>
      </c>
      <c r="C478" s="103"/>
      <c r="D478" s="102" t="s">
        <v>323</v>
      </c>
      <c r="E478" s="103"/>
      <c r="F478" s="106">
        <v>40</v>
      </c>
      <c r="G478" s="107"/>
      <c r="H478" s="17">
        <v>936</v>
      </c>
      <c r="I478" s="7" t="s">
        <v>957</v>
      </c>
      <c r="J478" s="7" t="s">
        <v>323</v>
      </c>
      <c r="K478" s="15">
        <v>80</v>
      </c>
    </row>
    <row r="479" spans="1:11" ht="14.25" customHeight="1" x14ac:dyDescent="0.2">
      <c r="A479" s="1"/>
      <c r="B479" s="97" t="s">
        <v>1</v>
      </c>
      <c r="C479" s="98"/>
      <c r="D479" s="99"/>
      <c r="E479" s="100"/>
      <c r="F479" s="99"/>
      <c r="G479" s="100"/>
      <c r="H479" s="4"/>
      <c r="I479" s="2" t="s">
        <v>1</v>
      </c>
      <c r="J479" s="3"/>
      <c r="K479" s="3"/>
    </row>
    <row r="480" spans="1:11" ht="16.5" customHeight="1" x14ac:dyDescent="0.2">
      <c r="A480" s="6">
        <v>937</v>
      </c>
      <c r="B480" s="102" t="s">
        <v>958</v>
      </c>
      <c r="C480" s="103"/>
      <c r="D480" s="102" t="s">
        <v>6</v>
      </c>
      <c r="E480" s="103"/>
      <c r="F480" s="104">
        <v>47</v>
      </c>
      <c r="G480" s="105"/>
      <c r="H480" s="11">
        <v>989</v>
      </c>
      <c r="I480" s="7" t="s">
        <v>959</v>
      </c>
      <c r="J480" s="7" t="s">
        <v>6</v>
      </c>
      <c r="K480" s="9">
        <v>105</v>
      </c>
    </row>
    <row r="481" spans="1:11" ht="16.5" customHeight="1" x14ac:dyDescent="0.2">
      <c r="A481" s="6">
        <v>938</v>
      </c>
      <c r="B481" s="102" t="s">
        <v>960</v>
      </c>
      <c r="C481" s="103"/>
      <c r="D481" s="102" t="s">
        <v>3</v>
      </c>
      <c r="E481" s="103"/>
      <c r="F481" s="104">
        <v>25</v>
      </c>
      <c r="G481" s="105"/>
      <c r="H481" s="11">
        <v>990</v>
      </c>
      <c r="I481" s="7" t="s">
        <v>961</v>
      </c>
      <c r="J481" s="7" t="s">
        <v>6</v>
      </c>
      <c r="K481" s="9">
        <v>9.1999999999999993</v>
      </c>
    </row>
    <row r="482" spans="1:11" ht="16.5" customHeight="1" x14ac:dyDescent="0.2">
      <c r="A482" s="6">
        <v>939</v>
      </c>
      <c r="B482" s="102" t="s">
        <v>962</v>
      </c>
      <c r="C482" s="103"/>
      <c r="D482" s="102" t="s">
        <v>3</v>
      </c>
      <c r="E482" s="103"/>
      <c r="F482" s="104">
        <v>20.5</v>
      </c>
      <c r="G482" s="105"/>
      <c r="H482" s="11">
        <v>991</v>
      </c>
      <c r="I482" s="7" t="s">
        <v>963</v>
      </c>
      <c r="J482" s="7" t="s">
        <v>6</v>
      </c>
      <c r="K482" s="9">
        <v>7</v>
      </c>
    </row>
    <row r="483" spans="1:11" ht="16.5" customHeight="1" x14ac:dyDescent="0.2">
      <c r="A483" s="6">
        <v>940</v>
      </c>
      <c r="B483" s="102" t="s">
        <v>964</v>
      </c>
      <c r="C483" s="103"/>
      <c r="D483" s="102" t="s">
        <v>6</v>
      </c>
      <c r="E483" s="103"/>
      <c r="F483" s="104">
        <v>78</v>
      </c>
      <c r="G483" s="105"/>
      <c r="H483" s="11">
        <v>992</v>
      </c>
      <c r="I483" s="7" t="s">
        <v>965</v>
      </c>
      <c r="J483" s="7" t="s">
        <v>6</v>
      </c>
      <c r="K483" s="9">
        <v>13.5</v>
      </c>
    </row>
    <row r="484" spans="1:11" ht="16.5" customHeight="1" x14ac:dyDescent="0.2">
      <c r="A484" s="6">
        <v>941</v>
      </c>
      <c r="B484" s="102" t="s">
        <v>966</v>
      </c>
      <c r="C484" s="103"/>
      <c r="D484" s="102" t="s">
        <v>6</v>
      </c>
      <c r="E484" s="103"/>
      <c r="F484" s="104">
        <v>34</v>
      </c>
      <c r="G484" s="105"/>
      <c r="H484" s="11">
        <v>993</v>
      </c>
      <c r="I484" s="7" t="s">
        <v>967</v>
      </c>
      <c r="J484" s="7" t="s">
        <v>3</v>
      </c>
      <c r="K484" s="9">
        <v>3.2</v>
      </c>
    </row>
    <row r="485" spans="1:11" ht="16.5" customHeight="1" x14ac:dyDescent="0.2">
      <c r="A485" s="6">
        <v>942</v>
      </c>
      <c r="B485" s="102" t="s">
        <v>968</v>
      </c>
      <c r="C485" s="103"/>
      <c r="D485" s="102" t="s">
        <v>3</v>
      </c>
      <c r="E485" s="103"/>
      <c r="F485" s="104">
        <v>178</v>
      </c>
      <c r="G485" s="105"/>
      <c r="H485" s="11">
        <v>994</v>
      </c>
      <c r="I485" s="7" t="s">
        <v>969</v>
      </c>
      <c r="J485" s="7" t="s">
        <v>3</v>
      </c>
      <c r="K485" s="9">
        <v>11</v>
      </c>
    </row>
    <row r="486" spans="1:11" ht="16.5" customHeight="1" x14ac:dyDescent="0.2">
      <c r="A486" s="6">
        <v>943</v>
      </c>
      <c r="B486" s="102" t="s">
        <v>970</v>
      </c>
      <c r="C486" s="103"/>
      <c r="D486" s="102" t="s">
        <v>6</v>
      </c>
      <c r="E486" s="103"/>
      <c r="F486" s="104">
        <v>25</v>
      </c>
      <c r="G486" s="105"/>
      <c r="H486" s="11">
        <v>995</v>
      </c>
      <c r="I486" s="7" t="s">
        <v>971</v>
      </c>
      <c r="J486" s="7" t="s">
        <v>3</v>
      </c>
      <c r="K486" s="9">
        <v>72</v>
      </c>
    </row>
    <row r="487" spans="1:11" ht="16.5" customHeight="1" x14ac:dyDescent="0.2">
      <c r="A487" s="6">
        <v>944</v>
      </c>
      <c r="B487" s="102" t="s">
        <v>972</v>
      </c>
      <c r="C487" s="103"/>
      <c r="D487" s="102" t="s">
        <v>3</v>
      </c>
      <c r="E487" s="103"/>
      <c r="F487" s="104">
        <v>19</v>
      </c>
      <c r="G487" s="105"/>
      <c r="H487" s="11">
        <v>996</v>
      </c>
      <c r="I487" s="7" t="s">
        <v>973</v>
      </c>
      <c r="J487" s="7" t="s">
        <v>3</v>
      </c>
      <c r="K487" s="9">
        <v>76</v>
      </c>
    </row>
    <row r="488" spans="1:11" ht="16.5" customHeight="1" x14ac:dyDescent="0.2">
      <c r="A488" s="6">
        <v>945</v>
      </c>
      <c r="B488" s="102" t="s">
        <v>974</v>
      </c>
      <c r="C488" s="103"/>
      <c r="D488" s="102" t="s">
        <v>12</v>
      </c>
      <c r="E488" s="103"/>
      <c r="F488" s="104">
        <v>11.5</v>
      </c>
      <c r="G488" s="105"/>
      <c r="H488" s="11">
        <v>997</v>
      </c>
      <c r="I488" s="7" t="s">
        <v>975</v>
      </c>
      <c r="J488" s="7" t="s">
        <v>6</v>
      </c>
      <c r="K488" s="9">
        <v>25.7</v>
      </c>
    </row>
    <row r="489" spans="1:11" ht="16.5" customHeight="1" x14ac:dyDescent="0.2">
      <c r="A489" s="6">
        <v>946</v>
      </c>
      <c r="B489" s="102" t="s">
        <v>976</v>
      </c>
      <c r="C489" s="103"/>
      <c r="D489" s="102" t="s">
        <v>6</v>
      </c>
      <c r="E489" s="103"/>
      <c r="F489" s="104">
        <v>16</v>
      </c>
      <c r="G489" s="105"/>
      <c r="H489" s="11">
        <v>998</v>
      </c>
      <c r="I489" s="7" t="s">
        <v>977</v>
      </c>
      <c r="J489" s="7" t="s">
        <v>123</v>
      </c>
      <c r="K489" s="9">
        <v>75</v>
      </c>
    </row>
    <row r="490" spans="1:11" ht="16.5" customHeight="1" x14ac:dyDescent="0.2">
      <c r="A490" s="6">
        <v>947</v>
      </c>
      <c r="B490" s="102" t="s">
        <v>978</v>
      </c>
      <c r="C490" s="103"/>
      <c r="D490" s="102" t="s">
        <v>3</v>
      </c>
      <c r="E490" s="103"/>
      <c r="F490" s="104">
        <v>57</v>
      </c>
      <c r="G490" s="105"/>
      <c r="H490" s="11">
        <v>999</v>
      </c>
      <c r="I490" s="7" t="s">
        <v>979</v>
      </c>
      <c r="J490" s="7" t="s">
        <v>3</v>
      </c>
      <c r="K490" s="9">
        <v>20</v>
      </c>
    </row>
    <row r="491" spans="1:11" ht="16.5" customHeight="1" x14ac:dyDescent="0.2">
      <c r="A491" s="6">
        <v>948</v>
      </c>
      <c r="B491" s="102" t="s">
        <v>980</v>
      </c>
      <c r="C491" s="103"/>
      <c r="D491" s="102" t="s">
        <v>6</v>
      </c>
      <c r="E491" s="103"/>
      <c r="F491" s="104">
        <v>55</v>
      </c>
      <c r="G491" s="105"/>
      <c r="H491" s="11">
        <v>1000</v>
      </c>
      <c r="I491" s="7" t="s">
        <v>981</v>
      </c>
      <c r="J491" s="7" t="s">
        <v>6</v>
      </c>
      <c r="K491" s="9">
        <v>34.799999999999997</v>
      </c>
    </row>
    <row r="492" spans="1:11" ht="16.5" customHeight="1" x14ac:dyDescent="0.2">
      <c r="A492" s="6">
        <v>949</v>
      </c>
      <c r="B492" s="102" t="s">
        <v>982</v>
      </c>
      <c r="C492" s="103"/>
      <c r="D492" s="102" t="s">
        <v>6</v>
      </c>
      <c r="E492" s="103"/>
      <c r="F492" s="104">
        <v>140</v>
      </c>
      <c r="G492" s="105"/>
      <c r="H492" s="11">
        <v>1001</v>
      </c>
      <c r="I492" s="7" t="s">
        <v>983</v>
      </c>
      <c r="J492" s="7" t="s">
        <v>6</v>
      </c>
      <c r="K492" s="9">
        <v>31</v>
      </c>
    </row>
    <row r="493" spans="1:11" ht="16.5" customHeight="1" x14ac:dyDescent="0.2">
      <c r="A493" s="12">
        <v>950</v>
      </c>
      <c r="B493" s="102" t="s">
        <v>984</v>
      </c>
      <c r="C493" s="103"/>
      <c r="D493" s="102" t="s">
        <v>6</v>
      </c>
      <c r="E493" s="103"/>
      <c r="F493" s="104">
        <v>176</v>
      </c>
      <c r="G493" s="105"/>
      <c r="H493" s="13">
        <v>1002</v>
      </c>
      <c r="I493" s="7" t="s">
        <v>985</v>
      </c>
      <c r="J493" s="7" t="s">
        <v>6</v>
      </c>
      <c r="K493" s="9">
        <v>114</v>
      </c>
    </row>
    <row r="494" spans="1:11" ht="16.5" customHeight="1" x14ac:dyDescent="0.2">
      <c r="A494" s="6">
        <v>951</v>
      </c>
      <c r="B494" s="102" t="s">
        <v>986</v>
      </c>
      <c r="C494" s="103"/>
      <c r="D494" s="102" t="s">
        <v>6</v>
      </c>
      <c r="E494" s="103"/>
      <c r="F494" s="104">
        <v>21</v>
      </c>
      <c r="G494" s="105"/>
      <c r="H494" s="11">
        <v>1003</v>
      </c>
      <c r="I494" s="7" t="s">
        <v>987</v>
      </c>
      <c r="J494" s="7" t="s">
        <v>6</v>
      </c>
      <c r="K494" s="9">
        <v>124</v>
      </c>
    </row>
    <row r="495" spans="1:11" ht="16.5" customHeight="1" x14ac:dyDescent="0.2">
      <c r="A495" s="12">
        <v>952</v>
      </c>
      <c r="B495" s="102" t="s">
        <v>988</v>
      </c>
      <c r="C495" s="103"/>
      <c r="D495" s="102" t="s">
        <v>3</v>
      </c>
      <c r="E495" s="103"/>
      <c r="F495" s="104">
        <v>51</v>
      </c>
      <c r="G495" s="105"/>
      <c r="H495" s="13">
        <v>1004</v>
      </c>
      <c r="I495" s="7" t="s">
        <v>989</v>
      </c>
      <c r="J495" s="7" t="s">
        <v>37</v>
      </c>
      <c r="K495" s="9">
        <v>50.5</v>
      </c>
    </row>
    <row r="496" spans="1:11" ht="16.5" customHeight="1" x14ac:dyDescent="0.2">
      <c r="A496" s="6">
        <v>953</v>
      </c>
      <c r="B496" s="102" t="s">
        <v>990</v>
      </c>
      <c r="C496" s="103"/>
      <c r="D496" s="102" t="s">
        <v>3</v>
      </c>
      <c r="E496" s="103"/>
      <c r="F496" s="104">
        <v>26</v>
      </c>
      <c r="G496" s="105"/>
      <c r="H496" s="11">
        <v>1005</v>
      </c>
      <c r="I496" s="7" t="s">
        <v>991</v>
      </c>
      <c r="J496" s="7" t="s">
        <v>6</v>
      </c>
      <c r="K496" s="9">
        <v>213</v>
      </c>
    </row>
    <row r="497" spans="1:11" ht="16.5" customHeight="1" x14ac:dyDescent="0.2">
      <c r="A497" s="12">
        <v>954</v>
      </c>
      <c r="B497" s="102" t="s">
        <v>992</v>
      </c>
      <c r="C497" s="103"/>
      <c r="D497" s="102" t="s">
        <v>3</v>
      </c>
      <c r="E497" s="103"/>
      <c r="F497" s="104">
        <v>20.5</v>
      </c>
      <c r="G497" s="105"/>
      <c r="H497" s="13">
        <v>1006</v>
      </c>
      <c r="I497" s="7" t="s">
        <v>993</v>
      </c>
      <c r="J497" s="7" t="s">
        <v>37</v>
      </c>
      <c r="K497" s="9">
        <v>16</v>
      </c>
    </row>
    <row r="498" spans="1:11" ht="16.5" customHeight="1" x14ac:dyDescent="0.2">
      <c r="A498" s="6">
        <v>955</v>
      </c>
      <c r="B498" s="102" t="s">
        <v>994</v>
      </c>
      <c r="C498" s="103"/>
      <c r="D498" s="102" t="s">
        <v>3</v>
      </c>
      <c r="E498" s="103"/>
      <c r="F498" s="104">
        <v>45</v>
      </c>
      <c r="G498" s="105"/>
      <c r="H498" s="11">
        <v>1007</v>
      </c>
      <c r="I498" s="7" t="s">
        <v>995</v>
      </c>
      <c r="J498" s="7" t="s">
        <v>101</v>
      </c>
      <c r="K498" s="9">
        <v>3.7709999999999999</v>
      </c>
    </row>
    <row r="499" spans="1:11" ht="16.5" customHeight="1" x14ac:dyDescent="0.2">
      <c r="A499" s="12">
        <v>956</v>
      </c>
      <c r="B499" s="102" t="s">
        <v>996</v>
      </c>
      <c r="C499" s="103"/>
      <c r="D499" s="102" t="s">
        <v>6</v>
      </c>
      <c r="E499" s="103"/>
      <c r="F499" s="104">
        <v>28</v>
      </c>
      <c r="G499" s="105"/>
      <c r="H499" s="13">
        <v>1008</v>
      </c>
      <c r="I499" s="7" t="s">
        <v>997</v>
      </c>
      <c r="J499" s="7" t="s">
        <v>6</v>
      </c>
      <c r="K499" s="9">
        <v>260</v>
      </c>
    </row>
    <row r="500" spans="1:11" ht="16.5" customHeight="1" x14ac:dyDescent="0.2">
      <c r="A500" s="6">
        <v>957</v>
      </c>
      <c r="B500" s="102" t="s">
        <v>998</v>
      </c>
      <c r="C500" s="103"/>
      <c r="D500" s="102" t="s">
        <v>6</v>
      </c>
      <c r="E500" s="103"/>
      <c r="F500" s="104">
        <v>40</v>
      </c>
      <c r="G500" s="105"/>
      <c r="H500" s="11">
        <v>1009</v>
      </c>
      <c r="I500" s="7" t="s">
        <v>999</v>
      </c>
      <c r="J500" s="7" t="s">
        <v>6</v>
      </c>
      <c r="K500" s="9">
        <v>252</v>
      </c>
    </row>
    <row r="501" spans="1:11" ht="16.5" customHeight="1" x14ac:dyDescent="0.2">
      <c r="A501" s="12">
        <v>958</v>
      </c>
      <c r="B501" s="102" t="s">
        <v>1000</v>
      </c>
      <c r="C501" s="103"/>
      <c r="D501" s="102" t="s">
        <v>6</v>
      </c>
      <c r="E501" s="103"/>
      <c r="F501" s="104">
        <v>25</v>
      </c>
      <c r="G501" s="105"/>
      <c r="H501" s="13">
        <v>1010</v>
      </c>
      <c r="I501" s="7" t="s">
        <v>1001</v>
      </c>
      <c r="J501" s="7" t="s">
        <v>6</v>
      </c>
      <c r="K501" s="9">
        <v>92</v>
      </c>
    </row>
    <row r="502" spans="1:11" ht="16.5" customHeight="1" x14ac:dyDescent="0.2">
      <c r="A502" s="6">
        <v>959</v>
      </c>
      <c r="B502" s="102" t="s">
        <v>1002</v>
      </c>
      <c r="C502" s="103"/>
      <c r="D502" s="102" t="s">
        <v>6</v>
      </c>
      <c r="E502" s="103"/>
      <c r="F502" s="104">
        <v>28</v>
      </c>
      <c r="G502" s="105"/>
      <c r="H502" s="11">
        <v>1011</v>
      </c>
      <c r="I502" s="7" t="s">
        <v>1003</v>
      </c>
      <c r="J502" s="7" t="s">
        <v>6</v>
      </c>
      <c r="K502" s="9">
        <v>13.4</v>
      </c>
    </row>
    <row r="503" spans="1:11" ht="16.5" customHeight="1" x14ac:dyDescent="0.2">
      <c r="A503" s="12">
        <v>960</v>
      </c>
      <c r="B503" s="102" t="s">
        <v>1004</v>
      </c>
      <c r="C503" s="103"/>
      <c r="D503" s="102" t="s">
        <v>3</v>
      </c>
      <c r="E503" s="103"/>
      <c r="F503" s="104">
        <v>19.5</v>
      </c>
      <c r="G503" s="105"/>
      <c r="H503" s="13">
        <v>1012</v>
      </c>
      <c r="I503" s="7" t="s">
        <v>1005</v>
      </c>
      <c r="J503" s="7" t="s">
        <v>6</v>
      </c>
      <c r="K503" s="9">
        <v>63</v>
      </c>
    </row>
    <row r="504" spans="1:11" ht="16.5" customHeight="1" x14ac:dyDescent="0.2">
      <c r="A504" s="6">
        <v>961</v>
      </c>
      <c r="B504" s="102" t="s">
        <v>1006</v>
      </c>
      <c r="C504" s="103"/>
      <c r="D504" s="102" t="s">
        <v>6</v>
      </c>
      <c r="E504" s="103"/>
      <c r="F504" s="104">
        <v>24</v>
      </c>
      <c r="G504" s="105"/>
      <c r="H504" s="11">
        <v>1013</v>
      </c>
      <c r="I504" s="7" t="s">
        <v>1007</v>
      </c>
      <c r="J504" s="7" t="s">
        <v>6</v>
      </c>
      <c r="K504" s="9">
        <v>32</v>
      </c>
    </row>
    <row r="505" spans="1:11" ht="16.5" customHeight="1" x14ac:dyDescent="0.2">
      <c r="A505" s="12">
        <v>962</v>
      </c>
      <c r="B505" s="102" t="s">
        <v>1008</v>
      </c>
      <c r="C505" s="103"/>
      <c r="D505" s="102" t="s">
        <v>12</v>
      </c>
      <c r="E505" s="103"/>
      <c r="F505" s="104">
        <v>30.5</v>
      </c>
      <c r="G505" s="105"/>
      <c r="H505" s="13">
        <v>1014</v>
      </c>
      <c r="I505" s="7" t="s">
        <v>1009</v>
      </c>
      <c r="J505" s="7" t="s">
        <v>6</v>
      </c>
      <c r="K505" s="9">
        <v>35</v>
      </c>
    </row>
    <row r="506" spans="1:11" ht="16.5" customHeight="1" x14ac:dyDescent="0.2">
      <c r="A506" s="6">
        <v>963</v>
      </c>
      <c r="B506" s="102" t="s">
        <v>1010</v>
      </c>
      <c r="C506" s="103"/>
      <c r="D506" s="102" t="s">
        <v>6</v>
      </c>
      <c r="E506" s="103"/>
      <c r="F506" s="104">
        <v>3.5</v>
      </c>
      <c r="G506" s="105"/>
      <c r="H506" s="11">
        <v>1015</v>
      </c>
      <c r="I506" s="7" t="s">
        <v>1011</v>
      </c>
      <c r="J506" s="7" t="s">
        <v>6</v>
      </c>
      <c r="K506" s="9">
        <v>39</v>
      </c>
    </row>
    <row r="507" spans="1:11" ht="16.5" customHeight="1" x14ac:dyDescent="0.2">
      <c r="A507" s="12">
        <v>964</v>
      </c>
      <c r="B507" s="102" t="s">
        <v>1012</v>
      </c>
      <c r="C507" s="103"/>
      <c r="D507" s="102" t="s">
        <v>6</v>
      </c>
      <c r="E507" s="103"/>
      <c r="F507" s="104">
        <v>3.4</v>
      </c>
      <c r="G507" s="105"/>
      <c r="H507" s="13">
        <v>1016</v>
      </c>
      <c r="I507" s="7" t="s">
        <v>1013</v>
      </c>
      <c r="J507" s="7" t="s">
        <v>6</v>
      </c>
      <c r="K507" s="9">
        <v>58</v>
      </c>
    </row>
    <row r="508" spans="1:11" ht="16.5" customHeight="1" x14ac:dyDescent="0.2">
      <c r="A508" s="6">
        <v>965</v>
      </c>
      <c r="B508" s="102" t="s">
        <v>1014</v>
      </c>
      <c r="C508" s="103"/>
      <c r="D508" s="102" t="s">
        <v>6</v>
      </c>
      <c r="E508" s="103"/>
      <c r="F508" s="104">
        <v>6</v>
      </c>
      <c r="G508" s="105"/>
      <c r="H508" s="11">
        <v>1017</v>
      </c>
      <c r="I508" s="7" t="s">
        <v>1015</v>
      </c>
      <c r="J508" s="7" t="s">
        <v>6</v>
      </c>
      <c r="K508" s="9">
        <v>13.5</v>
      </c>
    </row>
    <row r="509" spans="1:11" ht="16.5" customHeight="1" x14ac:dyDescent="0.2">
      <c r="A509" s="12">
        <v>966</v>
      </c>
      <c r="B509" s="102" t="s">
        <v>1016</v>
      </c>
      <c r="C509" s="103"/>
      <c r="D509" s="102" t="s">
        <v>37</v>
      </c>
      <c r="E509" s="103"/>
      <c r="F509" s="104">
        <v>39</v>
      </c>
      <c r="G509" s="105"/>
      <c r="H509" s="13">
        <v>1018</v>
      </c>
      <c r="I509" s="7" t="s">
        <v>1017</v>
      </c>
      <c r="J509" s="7" t="s">
        <v>6</v>
      </c>
      <c r="K509" s="9">
        <v>22.5</v>
      </c>
    </row>
    <row r="510" spans="1:11" ht="16.5" customHeight="1" x14ac:dyDescent="0.2">
      <c r="A510" s="6">
        <v>967</v>
      </c>
      <c r="B510" s="102" t="s">
        <v>1018</v>
      </c>
      <c r="C510" s="103"/>
      <c r="D510" s="102" t="s">
        <v>37</v>
      </c>
      <c r="E510" s="103"/>
      <c r="F510" s="104">
        <v>39</v>
      </c>
      <c r="G510" s="105"/>
      <c r="H510" s="11">
        <v>1019</v>
      </c>
      <c r="I510" s="7" t="s">
        <v>1019</v>
      </c>
      <c r="J510" s="7" t="s">
        <v>6</v>
      </c>
      <c r="K510" s="9">
        <v>82</v>
      </c>
    </row>
    <row r="511" spans="1:11" ht="16.5" customHeight="1" x14ac:dyDescent="0.2">
      <c r="A511" s="12">
        <v>968</v>
      </c>
      <c r="B511" s="102" t="s">
        <v>1020</v>
      </c>
      <c r="C511" s="103"/>
      <c r="D511" s="102" t="s">
        <v>3</v>
      </c>
      <c r="E511" s="103"/>
      <c r="F511" s="104">
        <v>38</v>
      </c>
      <c r="G511" s="105"/>
      <c r="H511" s="13">
        <v>1020</v>
      </c>
      <c r="I511" s="7" t="s">
        <v>1021</v>
      </c>
      <c r="J511" s="7" t="s">
        <v>3</v>
      </c>
      <c r="K511" s="9">
        <v>137</v>
      </c>
    </row>
    <row r="512" spans="1:11" ht="16.5" customHeight="1" x14ac:dyDescent="0.2">
      <c r="A512" s="6">
        <v>969</v>
      </c>
      <c r="B512" s="102" t="s">
        <v>1022</v>
      </c>
      <c r="C512" s="103"/>
      <c r="D512" s="102" t="s">
        <v>6</v>
      </c>
      <c r="E512" s="103"/>
      <c r="F512" s="104">
        <v>38.799999999999997</v>
      </c>
      <c r="G512" s="105"/>
      <c r="H512" s="11">
        <v>1021</v>
      </c>
      <c r="I512" s="7" t="s">
        <v>1023</v>
      </c>
      <c r="J512" s="7" t="s">
        <v>6</v>
      </c>
      <c r="K512" s="9">
        <v>36</v>
      </c>
    </row>
    <row r="513" spans="1:11" ht="16.5" customHeight="1" x14ac:dyDescent="0.2">
      <c r="A513" s="12">
        <v>970</v>
      </c>
      <c r="B513" s="102" t="s">
        <v>1024</v>
      </c>
      <c r="C513" s="103"/>
      <c r="D513" s="102" t="s">
        <v>6</v>
      </c>
      <c r="E513" s="103"/>
      <c r="F513" s="104">
        <v>3.1</v>
      </c>
      <c r="G513" s="105"/>
      <c r="H513" s="13">
        <v>1022</v>
      </c>
      <c r="I513" s="7" t="s">
        <v>1025</v>
      </c>
      <c r="J513" s="7" t="s">
        <v>6</v>
      </c>
      <c r="K513" s="9">
        <v>215</v>
      </c>
    </row>
    <row r="514" spans="1:11" ht="16.5" customHeight="1" x14ac:dyDescent="0.2">
      <c r="A514" s="6">
        <v>971</v>
      </c>
      <c r="B514" s="102" t="s">
        <v>1026</v>
      </c>
      <c r="C514" s="103"/>
      <c r="D514" s="102" t="s">
        <v>6</v>
      </c>
      <c r="E514" s="103"/>
      <c r="F514" s="104">
        <v>30.5</v>
      </c>
      <c r="G514" s="105"/>
      <c r="H514" s="11">
        <v>1023</v>
      </c>
      <c r="I514" s="7" t="s">
        <v>1027</v>
      </c>
      <c r="J514" s="7" t="s">
        <v>12</v>
      </c>
      <c r="K514" s="9">
        <v>35.5</v>
      </c>
    </row>
    <row r="515" spans="1:11" ht="16.5" customHeight="1" x14ac:dyDescent="0.2">
      <c r="A515" s="12">
        <v>972</v>
      </c>
      <c r="B515" s="102" t="s">
        <v>1028</v>
      </c>
      <c r="C515" s="103"/>
      <c r="D515" s="102" t="s">
        <v>6</v>
      </c>
      <c r="E515" s="103"/>
      <c r="F515" s="104">
        <v>72</v>
      </c>
      <c r="G515" s="105"/>
      <c r="H515" s="13">
        <v>1024</v>
      </c>
      <c r="I515" s="7" t="s">
        <v>1029</v>
      </c>
      <c r="J515" s="7" t="s">
        <v>6</v>
      </c>
      <c r="K515" s="9">
        <v>168</v>
      </c>
    </row>
    <row r="516" spans="1:11" ht="16.5" customHeight="1" x14ac:dyDescent="0.2">
      <c r="A516" s="6">
        <v>973</v>
      </c>
      <c r="B516" s="102" t="s">
        <v>1030</v>
      </c>
      <c r="C516" s="103"/>
      <c r="D516" s="102" t="s">
        <v>37</v>
      </c>
      <c r="E516" s="103"/>
      <c r="F516" s="104">
        <v>58</v>
      </c>
      <c r="G516" s="105"/>
      <c r="H516" s="11">
        <v>1025</v>
      </c>
      <c r="I516" s="7" t="s">
        <v>1031</v>
      </c>
      <c r="J516" s="7" t="s">
        <v>12</v>
      </c>
      <c r="K516" s="9">
        <v>11.4</v>
      </c>
    </row>
    <row r="517" spans="1:11" ht="16.5" customHeight="1" x14ac:dyDescent="0.2">
      <c r="A517" s="12">
        <v>974</v>
      </c>
      <c r="B517" s="102" t="s">
        <v>1032</v>
      </c>
      <c r="C517" s="103"/>
      <c r="D517" s="102" t="s">
        <v>3</v>
      </c>
      <c r="E517" s="103"/>
      <c r="F517" s="104">
        <v>16</v>
      </c>
      <c r="G517" s="105"/>
      <c r="H517" s="13">
        <v>1026</v>
      </c>
      <c r="I517" s="7" t="s">
        <v>1033</v>
      </c>
      <c r="J517" s="7" t="s">
        <v>45</v>
      </c>
      <c r="K517" s="9">
        <v>15</v>
      </c>
    </row>
    <row r="518" spans="1:11" ht="16.5" customHeight="1" x14ac:dyDescent="0.2">
      <c r="A518" s="6">
        <v>975</v>
      </c>
      <c r="B518" s="102" t="s">
        <v>1034</v>
      </c>
      <c r="C518" s="103"/>
      <c r="D518" s="102" t="s">
        <v>3</v>
      </c>
      <c r="E518" s="103"/>
      <c r="F518" s="104">
        <v>13.6</v>
      </c>
      <c r="G518" s="105"/>
      <c r="H518" s="11">
        <v>1027</v>
      </c>
      <c r="I518" s="7" t="s">
        <v>1035</v>
      </c>
      <c r="J518" s="7" t="s">
        <v>6</v>
      </c>
      <c r="K518" s="9">
        <v>171</v>
      </c>
    </row>
    <row r="519" spans="1:11" ht="16.5" customHeight="1" x14ac:dyDescent="0.2">
      <c r="A519" s="12">
        <v>976</v>
      </c>
      <c r="B519" s="102" t="s">
        <v>1036</v>
      </c>
      <c r="C519" s="103"/>
      <c r="D519" s="102" t="s">
        <v>37</v>
      </c>
      <c r="E519" s="103"/>
      <c r="F519" s="104">
        <v>53</v>
      </c>
      <c r="G519" s="105"/>
      <c r="H519" s="13">
        <v>1028</v>
      </c>
      <c r="I519" s="7" t="s">
        <v>1037</v>
      </c>
      <c r="J519" s="7" t="s">
        <v>3</v>
      </c>
      <c r="K519" s="9">
        <v>42</v>
      </c>
    </row>
    <row r="520" spans="1:11" ht="16.5" customHeight="1" x14ac:dyDescent="0.2">
      <c r="A520" s="6">
        <v>977</v>
      </c>
      <c r="B520" s="102" t="s">
        <v>1038</v>
      </c>
      <c r="C520" s="103"/>
      <c r="D520" s="102" t="s">
        <v>3</v>
      </c>
      <c r="E520" s="103"/>
      <c r="F520" s="104">
        <v>61.5</v>
      </c>
      <c r="G520" s="105"/>
      <c r="H520" s="11">
        <v>1029</v>
      </c>
      <c r="I520" s="7" t="s">
        <v>1039</v>
      </c>
      <c r="J520" s="7" t="s">
        <v>3</v>
      </c>
      <c r="K520" s="9">
        <v>35</v>
      </c>
    </row>
    <row r="521" spans="1:11" ht="16.5" customHeight="1" x14ac:dyDescent="0.2">
      <c r="A521" s="12">
        <v>978</v>
      </c>
      <c r="B521" s="102" t="s">
        <v>1040</v>
      </c>
      <c r="C521" s="103"/>
      <c r="D521" s="102" t="s">
        <v>37</v>
      </c>
      <c r="E521" s="103"/>
      <c r="F521" s="104">
        <v>45</v>
      </c>
      <c r="G521" s="105"/>
      <c r="H521" s="13">
        <v>1030</v>
      </c>
      <c r="I521" s="7" t="s">
        <v>1041</v>
      </c>
      <c r="J521" s="7" t="s">
        <v>6</v>
      </c>
      <c r="K521" s="9">
        <v>14</v>
      </c>
    </row>
    <row r="522" spans="1:11" ht="16.5" customHeight="1" x14ac:dyDescent="0.2">
      <c r="A522" s="6">
        <v>979</v>
      </c>
      <c r="B522" s="102" t="s">
        <v>1042</v>
      </c>
      <c r="C522" s="103"/>
      <c r="D522" s="102" t="s">
        <v>3</v>
      </c>
      <c r="E522" s="103"/>
      <c r="F522" s="104">
        <v>27</v>
      </c>
      <c r="G522" s="105"/>
      <c r="H522" s="11">
        <v>1031</v>
      </c>
      <c r="I522" s="7" t="s">
        <v>1043</v>
      </c>
      <c r="J522" s="7" t="s">
        <v>6</v>
      </c>
      <c r="K522" s="9">
        <v>43</v>
      </c>
    </row>
    <row r="523" spans="1:11" ht="16.5" customHeight="1" x14ac:dyDescent="0.2">
      <c r="A523" s="12">
        <v>980</v>
      </c>
      <c r="B523" s="102" t="s">
        <v>1044</v>
      </c>
      <c r="C523" s="103"/>
      <c r="D523" s="102" t="s">
        <v>3</v>
      </c>
      <c r="E523" s="103"/>
      <c r="F523" s="104">
        <v>9</v>
      </c>
      <c r="G523" s="105"/>
      <c r="H523" s="13">
        <v>1032</v>
      </c>
      <c r="I523" s="7" t="s">
        <v>1045</v>
      </c>
      <c r="J523" s="7" t="s">
        <v>6</v>
      </c>
      <c r="K523" s="9">
        <v>22</v>
      </c>
    </row>
    <row r="524" spans="1:11" ht="16.5" customHeight="1" x14ac:dyDescent="0.2">
      <c r="A524" s="6">
        <v>981</v>
      </c>
      <c r="B524" s="102" t="s">
        <v>1046</v>
      </c>
      <c r="C524" s="103"/>
      <c r="D524" s="102" t="s">
        <v>6</v>
      </c>
      <c r="E524" s="103"/>
      <c r="F524" s="104">
        <v>31</v>
      </c>
      <c r="G524" s="105"/>
      <c r="H524" s="11">
        <v>1033</v>
      </c>
      <c r="I524" s="7" t="s">
        <v>1047</v>
      </c>
      <c r="J524" s="7" t="s">
        <v>3</v>
      </c>
      <c r="K524" s="9">
        <v>80</v>
      </c>
    </row>
    <row r="525" spans="1:11" ht="16.5" customHeight="1" x14ac:dyDescent="0.2">
      <c r="A525" s="12">
        <v>982</v>
      </c>
      <c r="B525" s="102" t="s">
        <v>1048</v>
      </c>
      <c r="C525" s="103"/>
      <c r="D525" s="102" t="s">
        <v>3</v>
      </c>
      <c r="E525" s="103"/>
      <c r="F525" s="104">
        <v>35</v>
      </c>
      <c r="G525" s="105"/>
      <c r="H525" s="13">
        <v>1034</v>
      </c>
      <c r="I525" s="7" t="s">
        <v>1049</v>
      </c>
      <c r="J525" s="7" t="s">
        <v>37</v>
      </c>
      <c r="K525" s="9">
        <v>230</v>
      </c>
    </row>
    <row r="526" spans="1:11" ht="16.5" customHeight="1" x14ac:dyDescent="0.2">
      <c r="A526" s="6">
        <v>983</v>
      </c>
      <c r="B526" s="102" t="s">
        <v>1050</v>
      </c>
      <c r="C526" s="103"/>
      <c r="D526" s="102" t="s">
        <v>3</v>
      </c>
      <c r="E526" s="103"/>
      <c r="F526" s="104">
        <v>84</v>
      </c>
      <c r="G526" s="105"/>
      <c r="H526" s="11">
        <v>1035</v>
      </c>
      <c r="I526" s="7" t="s">
        <v>1051</v>
      </c>
      <c r="J526" s="7" t="s">
        <v>3</v>
      </c>
      <c r="K526" s="9">
        <v>35</v>
      </c>
    </row>
    <row r="527" spans="1:11" ht="16.5" customHeight="1" x14ac:dyDescent="0.2">
      <c r="A527" s="12">
        <v>984</v>
      </c>
      <c r="B527" s="102" t="s">
        <v>1052</v>
      </c>
      <c r="C527" s="103"/>
      <c r="D527" s="102" t="s">
        <v>3</v>
      </c>
      <c r="E527" s="103"/>
      <c r="F527" s="104">
        <v>50</v>
      </c>
      <c r="G527" s="105"/>
      <c r="H527" s="13">
        <v>1036</v>
      </c>
      <c r="I527" s="7" t="s">
        <v>1053</v>
      </c>
      <c r="J527" s="7" t="s">
        <v>3</v>
      </c>
      <c r="K527" s="9">
        <v>25</v>
      </c>
    </row>
    <row r="528" spans="1:11" ht="16.5" customHeight="1" x14ac:dyDescent="0.2">
      <c r="A528" s="6">
        <v>985</v>
      </c>
      <c r="B528" s="102" t="s">
        <v>1054</v>
      </c>
      <c r="C528" s="103"/>
      <c r="D528" s="102" t="s">
        <v>3</v>
      </c>
      <c r="E528" s="103"/>
      <c r="F528" s="104">
        <v>34</v>
      </c>
      <c r="G528" s="105"/>
      <c r="H528" s="11">
        <v>1037</v>
      </c>
      <c r="I528" s="7" t="s">
        <v>1055</v>
      </c>
      <c r="J528" s="7" t="s">
        <v>3</v>
      </c>
      <c r="K528" s="9">
        <v>25</v>
      </c>
    </row>
    <row r="529" spans="1:13" ht="16.5" customHeight="1" x14ac:dyDescent="0.2">
      <c r="A529" s="12">
        <v>986</v>
      </c>
      <c r="B529" s="102" t="s">
        <v>1056</v>
      </c>
      <c r="C529" s="103"/>
      <c r="D529" s="102" t="s">
        <v>3</v>
      </c>
      <c r="E529" s="103"/>
      <c r="F529" s="104">
        <v>63</v>
      </c>
      <c r="G529" s="105"/>
      <c r="H529" s="13">
        <v>1038</v>
      </c>
      <c r="I529" s="7" t="s">
        <v>1057</v>
      </c>
      <c r="J529" s="7" t="s">
        <v>3</v>
      </c>
      <c r="K529" s="9">
        <v>35</v>
      </c>
    </row>
    <row r="530" spans="1:13" ht="16.5" customHeight="1" x14ac:dyDescent="0.2">
      <c r="A530" s="6">
        <v>987</v>
      </c>
      <c r="B530" s="102" t="s">
        <v>1058</v>
      </c>
      <c r="C530" s="103"/>
      <c r="D530" s="102" t="s">
        <v>6</v>
      </c>
      <c r="E530" s="103"/>
      <c r="F530" s="104">
        <v>73.400000000000006</v>
      </c>
      <c r="G530" s="105"/>
      <c r="H530" s="11">
        <v>1039</v>
      </c>
      <c r="I530" s="7" t="s">
        <v>1059</v>
      </c>
      <c r="J530" s="7" t="s">
        <v>3</v>
      </c>
      <c r="K530" s="9">
        <v>4.5</v>
      </c>
    </row>
    <row r="531" spans="1:13" ht="16.5" customHeight="1" x14ac:dyDescent="0.2">
      <c r="A531" s="14">
        <v>988</v>
      </c>
      <c r="B531" s="102" t="s">
        <v>1060</v>
      </c>
      <c r="C531" s="103"/>
      <c r="D531" s="102" t="s">
        <v>323</v>
      </c>
      <c r="E531" s="103"/>
      <c r="F531" s="106">
        <v>32</v>
      </c>
      <c r="G531" s="107"/>
      <c r="H531" s="17">
        <v>1040</v>
      </c>
      <c r="I531" s="7" t="s">
        <v>1061</v>
      </c>
      <c r="J531" s="7" t="s">
        <v>535</v>
      </c>
      <c r="K531" s="15">
        <v>17.399999999999999</v>
      </c>
    </row>
    <row r="532" spans="1:13" ht="41.45" customHeight="1" x14ac:dyDescent="0.2">
      <c r="A532" s="108" t="s">
        <v>1062</v>
      </c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</row>
    <row r="533" spans="1:13" ht="14.25" customHeight="1" x14ac:dyDescent="0.2">
      <c r="A533" s="1"/>
      <c r="B533" s="97" t="s">
        <v>1</v>
      </c>
      <c r="C533" s="98"/>
      <c r="D533" s="99"/>
      <c r="E533" s="100"/>
      <c r="F533" s="99"/>
      <c r="G533" s="100"/>
      <c r="H533" s="4"/>
      <c r="I533" s="2" t="s">
        <v>1</v>
      </c>
      <c r="J533" s="3"/>
      <c r="K533" s="3"/>
      <c r="L533" s="101"/>
      <c r="M533" s="101"/>
    </row>
    <row r="534" spans="1:13" ht="16.5" customHeight="1" x14ac:dyDescent="0.2">
      <c r="A534" s="6">
        <v>1041</v>
      </c>
      <c r="B534" s="102" t="s">
        <v>1063</v>
      </c>
      <c r="C534" s="103"/>
      <c r="D534" s="102" t="s">
        <v>6</v>
      </c>
      <c r="E534" s="103"/>
      <c r="F534" s="104">
        <v>20</v>
      </c>
      <c r="G534" s="105"/>
      <c r="H534" s="11">
        <v>1093</v>
      </c>
      <c r="I534" s="7" t="s">
        <v>1064</v>
      </c>
      <c r="J534" s="7" t="s">
        <v>6</v>
      </c>
      <c r="K534" s="9">
        <v>121</v>
      </c>
      <c r="L534" s="101"/>
      <c r="M534" s="101"/>
    </row>
    <row r="535" spans="1:13" ht="16.5" customHeight="1" x14ac:dyDescent="0.2">
      <c r="A535" s="6">
        <v>1042</v>
      </c>
      <c r="B535" s="102" t="s">
        <v>1065</v>
      </c>
      <c r="C535" s="103"/>
      <c r="D535" s="102" t="s">
        <v>6</v>
      </c>
      <c r="E535" s="103"/>
      <c r="F535" s="104">
        <v>23</v>
      </c>
      <c r="G535" s="105"/>
      <c r="H535" s="11">
        <v>1094</v>
      </c>
      <c r="I535" s="7" t="s">
        <v>1066</v>
      </c>
      <c r="J535" s="7" t="s">
        <v>6</v>
      </c>
      <c r="K535" s="9">
        <v>68</v>
      </c>
      <c r="L535" s="101"/>
      <c r="M535" s="101"/>
    </row>
    <row r="536" spans="1:13" ht="16.5" customHeight="1" x14ac:dyDescent="0.2">
      <c r="A536" s="6">
        <v>1043</v>
      </c>
      <c r="B536" s="102" t="s">
        <v>1067</v>
      </c>
      <c r="C536" s="103"/>
      <c r="D536" s="102" t="s">
        <v>3</v>
      </c>
      <c r="E536" s="103"/>
      <c r="F536" s="104">
        <v>24</v>
      </c>
      <c r="G536" s="105"/>
      <c r="H536" s="11">
        <v>1095</v>
      </c>
      <c r="I536" s="7" t="s">
        <v>1068</v>
      </c>
      <c r="J536" s="7" t="s">
        <v>6</v>
      </c>
      <c r="K536" s="9">
        <v>120</v>
      </c>
      <c r="L536" s="101"/>
      <c r="M536" s="101"/>
    </row>
    <row r="537" spans="1:13" ht="16.5" customHeight="1" x14ac:dyDescent="0.2">
      <c r="A537" s="6">
        <v>1044</v>
      </c>
      <c r="B537" s="102" t="s">
        <v>1069</v>
      </c>
      <c r="C537" s="103"/>
      <c r="D537" s="102" t="s">
        <v>12</v>
      </c>
      <c r="E537" s="103"/>
      <c r="F537" s="104">
        <v>20</v>
      </c>
      <c r="G537" s="105"/>
      <c r="H537" s="11">
        <v>1096</v>
      </c>
      <c r="I537" s="7" t="s">
        <v>1070</v>
      </c>
      <c r="J537" s="7" t="s">
        <v>6</v>
      </c>
      <c r="K537" s="9">
        <v>13</v>
      </c>
      <c r="L537" s="101"/>
      <c r="M537" s="101"/>
    </row>
    <row r="538" spans="1:13" ht="16.5" customHeight="1" x14ac:dyDescent="0.2">
      <c r="A538" s="6">
        <v>1045</v>
      </c>
      <c r="B538" s="102" t="s">
        <v>1071</v>
      </c>
      <c r="C538" s="103"/>
      <c r="D538" s="102" t="s">
        <v>3</v>
      </c>
      <c r="E538" s="103"/>
      <c r="F538" s="104">
        <v>24</v>
      </c>
      <c r="G538" s="105"/>
      <c r="H538" s="11">
        <v>1097</v>
      </c>
      <c r="I538" s="7" t="s">
        <v>1072</v>
      </c>
      <c r="J538" s="7" t="s">
        <v>6</v>
      </c>
      <c r="K538" s="9">
        <v>35</v>
      </c>
      <c r="L538" s="101"/>
      <c r="M538" s="101"/>
    </row>
    <row r="539" spans="1:13" ht="16.5" customHeight="1" x14ac:dyDescent="0.2">
      <c r="A539" s="6">
        <v>1046</v>
      </c>
      <c r="B539" s="102" t="s">
        <v>1073</v>
      </c>
      <c r="C539" s="103"/>
      <c r="D539" s="102" t="s">
        <v>6</v>
      </c>
      <c r="E539" s="103"/>
      <c r="F539" s="104">
        <v>47</v>
      </c>
      <c r="G539" s="105"/>
      <c r="H539" s="11">
        <v>1098</v>
      </c>
      <c r="I539" s="7" t="s">
        <v>1074</v>
      </c>
      <c r="J539" s="7" t="s">
        <v>6</v>
      </c>
      <c r="K539" s="9">
        <v>13</v>
      </c>
      <c r="L539" s="101"/>
      <c r="M539" s="101"/>
    </row>
    <row r="540" spans="1:13" ht="16.5" customHeight="1" x14ac:dyDescent="0.2">
      <c r="A540" s="6">
        <v>1047</v>
      </c>
      <c r="B540" s="102" t="s">
        <v>1075</v>
      </c>
      <c r="C540" s="103"/>
      <c r="D540" s="102" t="s">
        <v>3</v>
      </c>
      <c r="E540" s="103"/>
      <c r="F540" s="104">
        <v>7.6</v>
      </c>
      <c r="G540" s="105"/>
      <c r="H540" s="11">
        <v>1099</v>
      </c>
      <c r="I540" s="7" t="s">
        <v>1076</v>
      </c>
      <c r="J540" s="7" t="s">
        <v>900</v>
      </c>
      <c r="K540" s="9">
        <v>71</v>
      </c>
      <c r="L540" s="101"/>
      <c r="M540" s="101"/>
    </row>
    <row r="541" spans="1:13" ht="16.5" customHeight="1" x14ac:dyDescent="0.2">
      <c r="A541" s="6">
        <v>1048</v>
      </c>
      <c r="B541" s="102" t="s">
        <v>1077</v>
      </c>
      <c r="C541" s="103"/>
      <c r="D541" s="102" t="s">
        <v>6</v>
      </c>
      <c r="E541" s="103"/>
      <c r="F541" s="104">
        <v>182</v>
      </c>
      <c r="G541" s="105"/>
      <c r="H541" s="11">
        <v>1100</v>
      </c>
      <c r="I541" s="7" t="s">
        <v>1078</v>
      </c>
      <c r="J541" s="7" t="s">
        <v>6</v>
      </c>
      <c r="K541" s="9">
        <v>31</v>
      </c>
      <c r="L541" s="101"/>
      <c r="M541" s="101"/>
    </row>
    <row r="542" spans="1:13" ht="16.5" customHeight="1" x14ac:dyDescent="0.2">
      <c r="A542" s="6">
        <v>1049</v>
      </c>
      <c r="B542" s="102" t="s">
        <v>1079</v>
      </c>
      <c r="C542" s="103"/>
      <c r="D542" s="102" t="s">
        <v>3</v>
      </c>
      <c r="E542" s="103"/>
      <c r="F542" s="104">
        <v>5.0279999999999996</v>
      </c>
      <c r="G542" s="105"/>
      <c r="H542" s="11">
        <v>1101</v>
      </c>
      <c r="I542" s="7" t="s">
        <v>1080</v>
      </c>
      <c r="J542" s="7" t="s">
        <v>6</v>
      </c>
      <c r="K542" s="9">
        <v>157</v>
      </c>
      <c r="L542" s="101"/>
      <c r="M542" s="101"/>
    </row>
    <row r="543" spans="1:13" ht="16.5" customHeight="1" x14ac:dyDescent="0.2">
      <c r="A543" s="6">
        <v>1050</v>
      </c>
      <c r="B543" s="102" t="s">
        <v>1081</v>
      </c>
      <c r="C543" s="103"/>
      <c r="D543" s="102" t="s">
        <v>37</v>
      </c>
      <c r="E543" s="103"/>
      <c r="F543" s="104">
        <v>98</v>
      </c>
      <c r="G543" s="105"/>
      <c r="H543" s="11">
        <v>1102</v>
      </c>
      <c r="I543" s="7" t="s">
        <v>1082</v>
      </c>
      <c r="J543" s="7" t="s">
        <v>6</v>
      </c>
      <c r="K543" s="9">
        <v>450</v>
      </c>
      <c r="L543" s="101"/>
      <c r="M543" s="101"/>
    </row>
    <row r="544" spans="1:13" ht="16.5" customHeight="1" x14ac:dyDescent="0.2">
      <c r="A544" s="6">
        <v>1051</v>
      </c>
      <c r="B544" s="102" t="s">
        <v>1083</v>
      </c>
      <c r="C544" s="103"/>
      <c r="D544" s="102" t="s">
        <v>3</v>
      </c>
      <c r="E544" s="103"/>
      <c r="F544" s="104">
        <v>17.5</v>
      </c>
      <c r="G544" s="105"/>
      <c r="H544" s="11">
        <v>1103</v>
      </c>
      <c r="I544" s="7" t="s">
        <v>1084</v>
      </c>
      <c r="J544" s="7" t="s">
        <v>6</v>
      </c>
      <c r="K544" s="9">
        <v>62</v>
      </c>
      <c r="L544" s="101"/>
      <c r="M544" s="101"/>
    </row>
    <row r="545" spans="1:13" ht="16.5" customHeight="1" x14ac:dyDescent="0.2">
      <c r="A545" s="6">
        <v>1052</v>
      </c>
      <c r="B545" s="102" t="s">
        <v>1085</v>
      </c>
      <c r="C545" s="103"/>
      <c r="D545" s="102" t="s">
        <v>3</v>
      </c>
      <c r="E545" s="103"/>
      <c r="F545" s="104">
        <v>17.5</v>
      </c>
      <c r="G545" s="105"/>
      <c r="H545" s="11">
        <v>1104</v>
      </c>
      <c r="I545" s="7" t="s">
        <v>1086</v>
      </c>
      <c r="J545" s="7" t="s">
        <v>6</v>
      </c>
      <c r="K545" s="9">
        <v>29</v>
      </c>
      <c r="L545" s="101"/>
      <c r="M545" s="101"/>
    </row>
    <row r="546" spans="1:13" ht="16.5" customHeight="1" x14ac:dyDescent="0.2">
      <c r="A546" s="6">
        <v>1053</v>
      </c>
      <c r="B546" s="102" t="s">
        <v>1087</v>
      </c>
      <c r="C546" s="103"/>
      <c r="D546" s="102" t="s">
        <v>3</v>
      </c>
      <c r="E546" s="103"/>
      <c r="F546" s="104">
        <v>56</v>
      </c>
      <c r="G546" s="105"/>
      <c r="H546" s="11">
        <v>1105</v>
      </c>
      <c r="I546" s="7" t="s">
        <v>1088</v>
      </c>
      <c r="J546" s="7" t="s">
        <v>6</v>
      </c>
      <c r="K546" s="9">
        <v>66</v>
      </c>
      <c r="L546" s="101"/>
      <c r="M546" s="101"/>
    </row>
    <row r="547" spans="1:13" ht="16.5" customHeight="1" x14ac:dyDescent="0.2">
      <c r="A547" s="12">
        <v>1054</v>
      </c>
      <c r="B547" s="102" t="s">
        <v>1089</v>
      </c>
      <c r="C547" s="103"/>
      <c r="D547" s="102" t="s">
        <v>6</v>
      </c>
      <c r="E547" s="103"/>
      <c r="F547" s="104">
        <v>21</v>
      </c>
      <c r="G547" s="105"/>
      <c r="H547" s="13">
        <v>1106</v>
      </c>
      <c r="I547" s="7" t="s">
        <v>1090</v>
      </c>
      <c r="J547" s="7" t="s">
        <v>6</v>
      </c>
      <c r="K547" s="9">
        <v>20</v>
      </c>
      <c r="L547" s="101"/>
      <c r="M547" s="101"/>
    </row>
    <row r="548" spans="1:13" ht="16.5" customHeight="1" x14ac:dyDescent="0.2">
      <c r="A548" s="6">
        <v>1055</v>
      </c>
      <c r="B548" s="102" t="s">
        <v>1091</v>
      </c>
      <c r="C548" s="103"/>
      <c r="D548" s="102" t="s">
        <v>6</v>
      </c>
      <c r="E548" s="103"/>
      <c r="F548" s="104">
        <v>15</v>
      </c>
      <c r="G548" s="105"/>
      <c r="H548" s="11">
        <v>1107</v>
      </c>
      <c r="I548" s="7" t="s">
        <v>1092</v>
      </c>
      <c r="J548" s="7" t="s">
        <v>6</v>
      </c>
      <c r="K548" s="9">
        <v>78</v>
      </c>
      <c r="L548" s="101"/>
      <c r="M548" s="101"/>
    </row>
    <row r="549" spans="1:13" ht="16.5" customHeight="1" x14ac:dyDescent="0.2">
      <c r="A549" s="12">
        <v>1056</v>
      </c>
      <c r="B549" s="102" t="s">
        <v>1093</v>
      </c>
      <c r="C549" s="103"/>
      <c r="D549" s="102" t="s">
        <v>6</v>
      </c>
      <c r="E549" s="103"/>
      <c r="F549" s="104">
        <v>195</v>
      </c>
      <c r="G549" s="105"/>
      <c r="H549" s="13">
        <v>1108</v>
      </c>
      <c r="I549" s="7" t="s">
        <v>1094</v>
      </c>
      <c r="J549" s="7" t="s">
        <v>6</v>
      </c>
      <c r="K549" s="9">
        <v>37</v>
      </c>
      <c r="L549" s="101"/>
      <c r="M549" s="101"/>
    </row>
    <row r="550" spans="1:13" ht="16.5" customHeight="1" x14ac:dyDescent="0.2">
      <c r="A550" s="6">
        <v>1057</v>
      </c>
      <c r="B550" s="102" t="s">
        <v>1095</v>
      </c>
      <c r="C550" s="103"/>
      <c r="D550" s="102" t="s">
        <v>3</v>
      </c>
      <c r="E550" s="103"/>
      <c r="F550" s="104">
        <v>55</v>
      </c>
      <c r="G550" s="105"/>
      <c r="H550" s="11">
        <v>1109</v>
      </c>
      <c r="I550" s="7" t="s">
        <v>1096</v>
      </c>
      <c r="J550" s="7" t="s">
        <v>6</v>
      </c>
      <c r="K550" s="9">
        <v>31</v>
      </c>
      <c r="L550" s="101"/>
      <c r="M550" s="101"/>
    </row>
    <row r="551" spans="1:13" ht="16.5" customHeight="1" x14ac:dyDescent="0.2">
      <c r="A551" s="12">
        <v>1058</v>
      </c>
      <c r="B551" s="102" t="s">
        <v>1097</v>
      </c>
      <c r="C551" s="103"/>
      <c r="D551" s="102" t="s">
        <v>6</v>
      </c>
      <c r="E551" s="103"/>
      <c r="F551" s="104">
        <v>70</v>
      </c>
      <c r="G551" s="105"/>
      <c r="H551" s="13">
        <v>1110</v>
      </c>
      <c r="I551" s="7" t="s">
        <v>1098</v>
      </c>
      <c r="J551" s="7" t="s">
        <v>6</v>
      </c>
      <c r="K551" s="9">
        <v>47</v>
      </c>
      <c r="L551" s="101"/>
      <c r="M551" s="101"/>
    </row>
    <row r="552" spans="1:13" ht="16.5" customHeight="1" x14ac:dyDescent="0.2">
      <c r="A552" s="6">
        <v>1059</v>
      </c>
      <c r="B552" s="102" t="s">
        <v>1099</v>
      </c>
      <c r="C552" s="103"/>
      <c r="D552" s="102" t="s">
        <v>6</v>
      </c>
      <c r="E552" s="103"/>
      <c r="F552" s="104">
        <v>70</v>
      </c>
      <c r="G552" s="105"/>
      <c r="H552" s="11">
        <v>1111</v>
      </c>
      <c r="I552" s="7" t="s">
        <v>1100</v>
      </c>
      <c r="J552" s="7" t="s">
        <v>6</v>
      </c>
      <c r="K552" s="9">
        <v>24</v>
      </c>
      <c r="L552" s="101"/>
      <c r="M552" s="101"/>
    </row>
    <row r="553" spans="1:13" ht="16.5" customHeight="1" x14ac:dyDescent="0.2">
      <c r="A553" s="12">
        <v>1060</v>
      </c>
      <c r="B553" s="102" t="s">
        <v>1101</v>
      </c>
      <c r="C553" s="103"/>
      <c r="D553" s="102" t="s">
        <v>3</v>
      </c>
      <c r="E553" s="103"/>
      <c r="F553" s="104">
        <v>45.5</v>
      </c>
      <c r="G553" s="105"/>
      <c r="H553" s="13">
        <v>1112</v>
      </c>
      <c r="I553" s="7" t="s">
        <v>1102</v>
      </c>
      <c r="J553" s="7" t="s">
        <v>6</v>
      </c>
      <c r="K553" s="9">
        <v>86</v>
      </c>
      <c r="L553" s="101"/>
      <c r="M553" s="101"/>
    </row>
    <row r="554" spans="1:13" ht="16.5" customHeight="1" x14ac:dyDescent="0.2">
      <c r="A554" s="6">
        <v>1061</v>
      </c>
      <c r="B554" s="102" t="s">
        <v>1103</v>
      </c>
      <c r="C554" s="103"/>
      <c r="D554" s="102" t="s">
        <v>12</v>
      </c>
      <c r="E554" s="103"/>
      <c r="F554" s="104">
        <v>8.5</v>
      </c>
      <c r="G554" s="105"/>
      <c r="H554" s="11">
        <v>1113</v>
      </c>
      <c r="I554" s="7" t="s">
        <v>1104</v>
      </c>
      <c r="J554" s="7" t="s">
        <v>6</v>
      </c>
      <c r="K554" s="9">
        <v>31</v>
      </c>
      <c r="L554" s="101"/>
      <c r="M554" s="101"/>
    </row>
    <row r="555" spans="1:13" ht="16.5" customHeight="1" x14ac:dyDescent="0.2">
      <c r="A555" s="12">
        <v>1062</v>
      </c>
      <c r="B555" s="102" t="s">
        <v>1105</v>
      </c>
      <c r="C555" s="103"/>
      <c r="D555" s="102" t="s">
        <v>6</v>
      </c>
      <c r="E555" s="103"/>
      <c r="F555" s="104">
        <v>79</v>
      </c>
      <c r="G555" s="105"/>
      <c r="H555" s="13">
        <v>1114</v>
      </c>
      <c r="I555" s="7" t="s">
        <v>1106</v>
      </c>
      <c r="J555" s="7" t="s">
        <v>6</v>
      </c>
      <c r="K555" s="9">
        <v>158</v>
      </c>
      <c r="L555" s="101"/>
      <c r="M555" s="101"/>
    </row>
    <row r="556" spans="1:13" ht="16.5" customHeight="1" x14ac:dyDescent="0.2">
      <c r="A556" s="6">
        <v>1063</v>
      </c>
      <c r="B556" s="102" t="s">
        <v>1107</v>
      </c>
      <c r="C556" s="103"/>
      <c r="D556" s="102" t="s">
        <v>6</v>
      </c>
      <c r="E556" s="103"/>
      <c r="F556" s="104">
        <v>68</v>
      </c>
      <c r="G556" s="105"/>
      <c r="H556" s="11">
        <v>1115</v>
      </c>
      <c r="I556" s="7" t="s">
        <v>1108</v>
      </c>
      <c r="J556" s="7" t="s">
        <v>6</v>
      </c>
      <c r="K556" s="9">
        <v>54</v>
      </c>
      <c r="L556" s="101"/>
      <c r="M556" s="101"/>
    </row>
    <row r="557" spans="1:13" ht="16.5" customHeight="1" x14ac:dyDescent="0.2">
      <c r="A557" s="12">
        <v>1064</v>
      </c>
      <c r="B557" s="102" t="s">
        <v>1109</v>
      </c>
      <c r="C557" s="103"/>
      <c r="D557" s="102" t="s">
        <v>101</v>
      </c>
      <c r="E557" s="103"/>
      <c r="F557" s="104">
        <v>16.5</v>
      </c>
      <c r="G557" s="105"/>
      <c r="H557" s="13">
        <v>1116</v>
      </c>
      <c r="I557" s="7" t="s">
        <v>1110</v>
      </c>
      <c r="J557" s="7" t="s">
        <v>6</v>
      </c>
      <c r="K557" s="9">
        <v>12</v>
      </c>
      <c r="L557" s="101"/>
      <c r="M557" s="101"/>
    </row>
    <row r="558" spans="1:13" ht="16.5" customHeight="1" x14ac:dyDescent="0.2">
      <c r="A558" s="6">
        <v>1065</v>
      </c>
      <c r="B558" s="102" t="s">
        <v>1111</v>
      </c>
      <c r="C558" s="103"/>
      <c r="D558" s="102" t="s">
        <v>6</v>
      </c>
      <c r="E558" s="103"/>
      <c r="F558" s="104">
        <v>34</v>
      </c>
      <c r="G558" s="105"/>
      <c r="H558" s="11">
        <v>1117</v>
      </c>
      <c r="I558" s="7" t="s">
        <v>1112</v>
      </c>
      <c r="J558" s="7" t="s">
        <v>6</v>
      </c>
      <c r="K558" s="9">
        <v>25</v>
      </c>
      <c r="L558" s="101"/>
      <c r="M558" s="101"/>
    </row>
    <row r="559" spans="1:13" ht="16.5" customHeight="1" x14ac:dyDescent="0.2">
      <c r="A559" s="12">
        <v>1066</v>
      </c>
      <c r="B559" s="102" t="s">
        <v>1113</v>
      </c>
      <c r="C559" s="103"/>
      <c r="D559" s="102" t="s">
        <v>900</v>
      </c>
      <c r="E559" s="103"/>
      <c r="F559" s="104">
        <v>255</v>
      </c>
      <c r="G559" s="105"/>
      <c r="H559" s="13">
        <v>1118</v>
      </c>
      <c r="I559" s="7" t="s">
        <v>1114</v>
      </c>
      <c r="J559" s="7" t="s">
        <v>6</v>
      </c>
      <c r="K559" s="9">
        <v>33</v>
      </c>
      <c r="L559" s="101"/>
      <c r="M559" s="101"/>
    </row>
    <row r="560" spans="1:13" ht="16.5" customHeight="1" x14ac:dyDescent="0.2">
      <c r="A560" s="6">
        <v>1067</v>
      </c>
      <c r="B560" s="102" t="s">
        <v>1115</v>
      </c>
      <c r="C560" s="103"/>
      <c r="D560" s="102" t="s">
        <v>6</v>
      </c>
      <c r="E560" s="103"/>
      <c r="F560" s="104">
        <v>151</v>
      </c>
      <c r="G560" s="105"/>
      <c r="H560" s="11">
        <v>1119</v>
      </c>
      <c r="I560" s="7" t="s">
        <v>1116</v>
      </c>
      <c r="J560" s="7" t="s">
        <v>6</v>
      </c>
      <c r="K560" s="9">
        <v>37.5</v>
      </c>
      <c r="L560" s="101"/>
      <c r="M560" s="101"/>
    </row>
    <row r="561" spans="1:13" ht="16.5" customHeight="1" x14ac:dyDescent="0.2">
      <c r="A561" s="12">
        <v>1068</v>
      </c>
      <c r="B561" s="102" t="s">
        <v>1117</v>
      </c>
      <c r="C561" s="103"/>
      <c r="D561" s="102" t="s">
        <v>6</v>
      </c>
      <c r="E561" s="103"/>
      <c r="F561" s="104">
        <v>36</v>
      </c>
      <c r="G561" s="105"/>
      <c r="H561" s="13">
        <v>1120</v>
      </c>
      <c r="I561" s="7" t="s">
        <v>1118</v>
      </c>
      <c r="J561" s="7" t="s">
        <v>6</v>
      </c>
      <c r="K561" s="9">
        <v>80</v>
      </c>
      <c r="L561" s="101"/>
      <c r="M561" s="101"/>
    </row>
    <row r="562" spans="1:13" ht="16.5" customHeight="1" x14ac:dyDescent="0.2">
      <c r="A562" s="6">
        <v>1069</v>
      </c>
      <c r="B562" s="102" t="s">
        <v>1119</v>
      </c>
      <c r="C562" s="103"/>
      <c r="D562" s="102" t="s">
        <v>6</v>
      </c>
      <c r="E562" s="103"/>
      <c r="F562" s="104">
        <v>61</v>
      </c>
      <c r="G562" s="105"/>
      <c r="H562" s="11">
        <v>1121</v>
      </c>
      <c r="I562" s="7" t="s">
        <v>1120</v>
      </c>
      <c r="J562" s="7" t="s">
        <v>6</v>
      </c>
      <c r="K562" s="9">
        <v>47.1</v>
      </c>
      <c r="L562" s="101"/>
      <c r="M562" s="101"/>
    </row>
    <row r="563" spans="1:13" ht="16.5" customHeight="1" x14ac:dyDescent="0.2">
      <c r="A563" s="12">
        <v>1070</v>
      </c>
      <c r="B563" s="102" t="s">
        <v>1121</v>
      </c>
      <c r="C563" s="103"/>
      <c r="D563" s="102" t="s">
        <v>3</v>
      </c>
      <c r="E563" s="103"/>
      <c r="F563" s="104">
        <v>48.5</v>
      </c>
      <c r="G563" s="105"/>
      <c r="H563" s="13">
        <v>1122</v>
      </c>
      <c r="I563" s="7" t="s">
        <v>1122</v>
      </c>
      <c r="J563" s="7" t="s">
        <v>6</v>
      </c>
      <c r="K563" s="9">
        <v>86</v>
      </c>
      <c r="L563" s="101"/>
      <c r="M563" s="101"/>
    </row>
    <row r="564" spans="1:13" ht="16.5" customHeight="1" x14ac:dyDescent="0.2">
      <c r="A564" s="6">
        <v>1071</v>
      </c>
      <c r="B564" s="102" t="s">
        <v>1123</v>
      </c>
      <c r="C564" s="103"/>
      <c r="D564" s="102" t="s">
        <v>3</v>
      </c>
      <c r="E564" s="103"/>
      <c r="F564" s="104">
        <v>36</v>
      </c>
      <c r="G564" s="105"/>
      <c r="H564" s="11">
        <v>1123</v>
      </c>
      <c r="I564" s="7" t="s">
        <v>1124</v>
      </c>
      <c r="J564" s="7" t="s">
        <v>6</v>
      </c>
      <c r="K564" s="9">
        <v>67</v>
      </c>
      <c r="L564" s="101"/>
      <c r="M564" s="101"/>
    </row>
    <row r="565" spans="1:13" ht="16.5" customHeight="1" x14ac:dyDescent="0.2">
      <c r="A565" s="12">
        <v>1072</v>
      </c>
      <c r="B565" s="102" t="s">
        <v>1125</v>
      </c>
      <c r="C565" s="103"/>
      <c r="D565" s="102" t="s">
        <v>3</v>
      </c>
      <c r="E565" s="103"/>
      <c r="F565" s="104">
        <v>24.5</v>
      </c>
      <c r="G565" s="105"/>
      <c r="H565" s="13">
        <v>1124</v>
      </c>
      <c r="I565" s="7" t="s">
        <v>1126</v>
      </c>
      <c r="J565" s="7" t="s">
        <v>37</v>
      </c>
      <c r="K565" s="9">
        <v>38</v>
      </c>
      <c r="L565" s="101"/>
      <c r="M565" s="101"/>
    </row>
    <row r="566" spans="1:13" ht="16.5" customHeight="1" x14ac:dyDescent="0.2">
      <c r="A566" s="6">
        <v>1073</v>
      </c>
      <c r="B566" s="102" t="s">
        <v>1127</v>
      </c>
      <c r="C566" s="103"/>
      <c r="D566" s="102" t="s">
        <v>3</v>
      </c>
      <c r="E566" s="103"/>
      <c r="F566" s="104">
        <v>46</v>
      </c>
      <c r="G566" s="105"/>
      <c r="H566" s="11">
        <v>1125</v>
      </c>
      <c r="I566" s="7" t="s">
        <v>1128</v>
      </c>
      <c r="J566" s="7" t="s">
        <v>3</v>
      </c>
      <c r="K566" s="9">
        <v>35</v>
      </c>
      <c r="L566" s="101"/>
      <c r="M566" s="101"/>
    </row>
    <row r="567" spans="1:13" ht="16.5" customHeight="1" x14ac:dyDescent="0.2">
      <c r="A567" s="12">
        <v>1074</v>
      </c>
      <c r="B567" s="102" t="s">
        <v>1129</v>
      </c>
      <c r="C567" s="103"/>
      <c r="D567" s="102" t="s">
        <v>12</v>
      </c>
      <c r="E567" s="103"/>
      <c r="F567" s="104">
        <v>138</v>
      </c>
      <c r="G567" s="105"/>
      <c r="H567" s="13">
        <v>1126</v>
      </c>
      <c r="I567" s="7" t="s">
        <v>1130</v>
      </c>
      <c r="J567" s="7" t="s">
        <v>3</v>
      </c>
      <c r="K567" s="9">
        <v>35</v>
      </c>
      <c r="L567" s="101"/>
      <c r="M567" s="101"/>
    </row>
    <row r="568" spans="1:13" ht="16.5" customHeight="1" x14ac:dyDescent="0.2">
      <c r="A568" s="6">
        <v>1075</v>
      </c>
      <c r="B568" s="102" t="s">
        <v>1131</v>
      </c>
      <c r="C568" s="103"/>
      <c r="D568" s="102" t="s">
        <v>3</v>
      </c>
      <c r="E568" s="103"/>
      <c r="F568" s="104">
        <v>10.5</v>
      </c>
      <c r="G568" s="105"/>
      <c r="H568" s="11">
        <v>1127</v>
      </c>
      <c r="I568" s="7" t="s">
        <v>1132</v>
      </c>
      <c r="J568" s="7" t="s">
        <v>12</v>
      </c>
      <c r="K568" s="9">
        <v>46</v>
      </c>
      <c r="L568" s="101"/>
      <c r="M568" s="101"/>
    </row>
    <row r="569" spans="1:13" ht="16.5" customHeight="1" x14ac:dyDescent="0.2">
      <c r="A569" s="12">
        <v>1076</v>
      </c>
      <c r="B569" s="102" t="s">
        <v>1133</v>
      </c>
      <c r="C569" s="103"/>
      <c r="D569" s="102" t="s">
        <v>6</v>
      </c>
      <c r="E569" s="103"/>
      <c r="F569" s="104">
        <v>11.2</v>
      </c>
      <c r="G569" s="105"/>
      <c r="H569" s="13">
        <v>1128</v>
      </c>
      <c r="I569" s="7" t="s">
        <v>1134</v>
      </c>
      <c r="J569" s="7" t="s">
        <v>3</v>
      </c>
      <c r="K569" s="9">
        <v>85</v>
      </c>
      <c r="L569" s="101"/>
      <c r="M569" s="101"/>
    </row>
    <row r="570" spans="1:13" ht="16.5" customHeight="1" x14ac:dyDescent="0.2">
      <c r="A570" s="6">
        <v>1077</v>
      </c>
      <c r="B570" s="102" t="s">
        <v>1135</v>
      </c>
      <c r="C570" s="103"/>
      <c r="D570" s="102" t="s">
        <v>3</v>
      </c>
      <c r="E570" s="103"/>
      <c r="F570" s="104">
        <v>17</v>
      </c>
      <c r="G570" s="105"/>
      <c r="H570" s="11">
        <v>1129</v>
      </c>
      <c r="I570" s="7" t="s">
        <v>1136</v>
      </c>
      <c r="J570" s="7" t="s">
        <v>37</v>
      </c>
      <c r="K570" s="9">
        <v>310</v>
      </c>
      <c r="L570" s="101"/>
      <c r="M570" s="101"/>
    </row>
    <row r="571" spans="1:13" ht="16.5" customHeight="1" x14ac:dyDescent="0.2">
      <c r="A571" s="12">
        <v>1078</v>
      </c>
      <c r="B571" s="102" t="s">
        <v>1137</v>
      </c>
      <c r="C571" s="103"/>
      <c r="D571" s="102" t="s">
        <v>3</v>
      </c>
      <c r="E571" s="103"/>
      <c r="F571" s="104">
        <v>25</v>
      </c>
      <c r="G571" s="105"/>
      <c r="H571" s="13">
        <v>1130</v>
      </c>
      <c r="I571" s="7" t="s">
        <v>1138</v>
      </c>
      <c r="J571" s="7" t="s">
        <v>37</v>
      </c>
      <c r="K571" s="9">
        <v>172</v>
      </c>
      <c r="L571" s="101"/>
      <c r="M571" s="101"/>
    </row>
    <row r="572" spans="1:13" ht="16.5" customHeight="1" x14ac:dyDescent="0.2">
      <c r="A572" s="6">
        <v>1079</v>
      </c>
      <c r="B572" s="102" t="s">
        <v>1139</v>
      </c>
      <c r="C572" s="103"/>
      <c r="D572" s="102" t="s">
        <v>37</v>
      </c>
      <c r="E572" s="103"/>
      <c r="F572" s="104">
        <v>260</v>
      </c>
      <c r="G572" s="105"/>
      <c r="H572" s="11">
        <v>1131</v>
      </c>
      <c r="I572" s="7" t="s">
        <v>1140</v>
      </c>
      <c r="J572" s="7" t="s">
        <v>6</v>
      </c>
      <c r="K572" s="9">
        <v>134</v>
      </c>
      <c r="L572" s="101"/>
      <c r="M572" s="101"/>
    </row>
    <row r="573" spans="1:13" ht="16.5" customHeight="1" x14ac:dyDescent="0.2">
      <c r="A573" s="12">
        <v>1080</v>
      </c>
      <c r="B573" s="102" t="s">
        <v>1141</v>
      </c>
      <c r="C573" s="103"/>
      <c r="D573" s="102" t="s">
        <v>37</v>
      </c>
      <c r="E573" s="103"/>
      <c r="F573" s="104">
        <v>165</v>
      </c>
      <c r="G573" s="105"/>
      <c r="H573" s="13">
        <v>1132</v>
      </c>
      <c r="I573" s="7" t="s">
        <v>1142</v>
      </c>
      <c r="J573" s="7" t="s">
        <v>6</v>
      </c>
      <c r="K573" s="9">
        <v>106</v>
      </c>
      <c r="L573" s="101"/>
      <c r="M573" s="101"/>
    </row>
    <row r="574" spans="1:13" ht="16.5" customHeight="1" x14ac:dyDescent="0.2">
      <c r="A574" s="6">
        <v>1081</v>
      </c>
      <c r="B574" s="102" t="s">
        <v>1143</v>
      </c>
      <c r="C574" s="103"/>
      <c r="D574" s="102" t="s">
        <v>37</v>
      </c>
      <c r="E574" s="103"/>
      <c r="F574" s="104">
        <v>175</v>
      </c>
      <c r="G574" s="105"/>
      <c r="H574" s="11">
        <v>1133</v>
      </c>
      <c r="I574" s="7" t="s">
        <v>1144</v>
      </c>
      <c r="J574" s="7" t="s">
        <v>6</v>
      </c>
      <c r="K574" s="9">
        <v>90</v>
      </c>
      <c r="L574" s="101"/>
      <c r="M574" s="101"/>
    </row>
    <row r="575" spans="1:13" ht="16.5" customHeight="1" x14ac:dyDescent="0.2">
      <c r="A575" s="12">
        <v>1082</v>
      </c>
      <c r="B575" s="102" t="s">
        <v>1145</v>
      </c>
      <c r="C575" s="103"/>
      <c r="D575" s="102" t="s">
        <v>3</v>
      </c>
      <c r="E575" s="103"/>
      <c r="F575" s="104">
        <v>42.7</v>
      </c>
      <c r="G575" s="105"/>
      <c r="H575" s="13">
        <v>1134</v>
      </c>
      <c r="I575" s="7" t="s">
        <v>1146</v>
      </c>
      <c r="J575" s="7" t="s">
        <v>3</v>
      </c>
      <c r="K575" s="9">
        <v>82</v>
      </c>
      <c r="L575" s="101"/>
      <c r="M575" s="101"/>
    </row>
    <row r="576" spans="1:13" ht="16.5" customHeight="1" x14ac:dyDescent="0.2">
      <c r="A576" s="6">
        <v>1083</v>
      </c>
      <c r="B576" s="102" t="s">
        <v>1147</v>
      </c>
      <c r="C576" s="103"/>
      <c r="D576" s="102" t="s">
        <v>3</v>
      </c>
      <c r="E576" s="103"/>
      <c r="F576" s="104">
        <v>32.5</v>
      </c>
      <c r="G576" s="105"/>
      <c r="H576" s="11">
        <v>1135</v>
      </c>
      <c r="I576" s="7" t="s">
        <v>1148</v>
      </c>
      <c r="J576" s="7" t="s">
        <v>6</v>
      </c>
      <c r="K576" s="9">
        <v>114</v>
      </c>
      <c r="L576" s="101"/>
      <c r="M576" s="101"/>
    </row>
    <row r="577" spans="1:13" ht="16.5" customHeight="1" x14ac:dyDescent="0.2">
      <c r="A577" s="12">
        <v>1084</v>
      </c>
      <c r="B577" s="102" t="s">
        <v>1149</v>
      </c>
      <c r="C577" s="103"/>
      <c r="D577" s="102" t="s">
        <v>6</v>
      </c>
      <c r="E577" s="103"/>
      <c r="F577" s="104">
        <v>67</v>
      </c>
      <c r="G577" s="105"/>
      <c r="H577" s="13">
        <v>1136</v>
      </c>
      <c r="I577" s="7" t="s">
        <v>1150</v>
      </c>
      <c r="J577" s="7" t="s">
        <v>6</v>
      </c>
      <c r="K577" s="9">
        <v>50</v>
      </c>
      <c r="L577" s="101"/>
      <c r="M577" s="101"/>
    </row>
    <row r="578" spans="1:13" ht="16.5" customHeight="1" x14ac:dyDescent="0.2">
      <c r="A578" s="6">
        <v>1085</v>
      </c>
      <c r="B578" s="102" t="s">
        <v>1151</v>
      </c>
      <c r="C578" s="103"/>
      <c r="D578" s="102" t="s">
        <v>6</v>
      </c>
      <c r="E578" s="103"/>
      <c r="F578" s="104">
        <v>60</v>
      </c>
      <c r="G578" s="105"/>
      <c r="H578" s="11">
        <v>1137</v>
      </c>
      <c r="I578" s="7" t="s">
        <v>1152</v>
      </c>
      <c r="J578" s="7" t="s">
        <v>6</v>
      </c>
      <c r="K578" s="9">
        <v>50</v>
      </c>
      <c r="L578" s="101"/>
      <c r="M578" s="101"/>
    </row>
    <row r="579" spans="1:13" ht="16.5" customHeight="1" x14ac:dyDescent="0.2">
      <c r="A579" s="12">
        <v>1086</v>
      </c>
      <c r="B579" s="102" t="s">
        <v>1153</v>
      </c>
      <c r="C579" s="103"/>
      <c r="D579" s="102" t="s">
        <v>6</v>
      </c>
      <c r="E579" s="103"/>
      <c r="F579" s="104">
        <v>26.7</v>
      </c>
      <c r="G579" s="105"/>
      <c r="H579" s="13">
        <v>1138</v>
      </c>
      <c r="I579" s="7" t="s">
        <v>1154</v>
      </c>
      <c r="J579" s="7" t="s">
        <v>227</v>
      </c>
      <c r="K579" s="9">
        <v>62</v>
      </c>
      <c r="L579" s="101"/>
      <c r="M579" s="101"/>
    </row>
    <row r="580" spans="1:13" ht="16.5" customHeight="1" x14ac:dyDescent="0.2">
      <c r="A580" s="6">
        <v>1087</v>
      </c>
      <c r="B580" s="102" t="s">
        <v>1155</v>
      </c>
      <c r="C580" s="103"/>
      <c r="D580" s="102" t="s">
        <v>12</v>
      </c>
      <c r="E580" s="103"/>
      <c r="F580" s="104">
        <v>42</v>
      </c>
      <c r="G580" s="105"/>
      <c r="H580" s="11">
        <v>1139</v>
      </c>
      <c r="I580" s="7" t="s">
        <v>1156</v>
      </c>
      <c r="J580" s="7" t="s">
        <v>3</v>
      </c>
      <c r="K580" s="9">
        <v>840</v>
      </c>
      <c r="L580" s="101"/>
      <c r="M580" s="101"/>
    </row>
    <row r="581" spans="1:13" ht="16.5" customHeight="1" x14ac:dyDescent="0.2">
      <c r="A581" s="12">
        <v>1088</v>
      </c>
      <c r="B581" s="102" t="s">
        <v>1157</v>
      </c>
      <c r="C581" s="103"/>
      <c r="D581" s="102" t="s">
        <v>12</v>
      </c>
      <c r="E581" s="103"/>
      <c r="F581" s="104">
        <v>75</v>
      </c>
      <c r="G581" s="105"/>
      <c r="H581" s="13">
        <v>1140</v>
      </c>
      <c r="I581" s="7" t="s">
        <v>1158</v>
      </c>
      <c r="J581" s="7" t="s">
        <v>3</v>
      </c>
      <c r="K581" s="9">
        <v>100</v>
      </c>
      <c r="L581" s="101"/>
      <c r="M581" s="101"/>
    </row>
    <row r="582" spans="1:13" ht="16.5" customHeight="1" x14ac:dyDescent="0.2">
      <c r="A582" s="6">
        <v>1089</v>
      </c>
      <c r="B582" s="102" t="s">
        <v>1159</v>
      </c>
      <c r="C582" s="103"/>
      <c r="D582" s="102" t="s">
        <v>3</v>
      </c>
      <c r="E582" s="103"/>
      <c r="F582" s="104">
        <v>108</v>
      </c>
      <c r="G582" s="105"/>
      <c r="H582" s="11">
        <v>1141</v>
      </c>
      <c r="I582" s="7" t="s">
        <v>1160</v>
      </c>
      <c r="J582" s="7" t="s">
        <v>3</v>
      </c>
      <c r="K582" s="9">
        <v>49</v>
      </c>
      <c r="L582" s="101"/>
      <c r="M582" s="101"/>
    </row>
    <row r="583" spans="1:13" ht="16.5" customHeight="1" x14ac:dyDescent="0.2">
      <c r="A583" s="12">
        <v>1090</v>
      </c>
      <c r="B583" s="102" t="s">
        <v>1161</v>
      </c>
      <c r="C583" s="103"/>
      <c r="D583" s="102" t="s">
        <v>605</v>
      </c>
      <c r="E583" s="103"/>
      <c r="F583" s="104">
        <v>11</v>
      </c>
      <c r="G583" s="105"/>
      <c r="H583" s="13">
        <v>1142</v>
      </c>
      <c r="I583" s="7" t="s">
        <v>1162</v>
      </c>
      <c r="J583" s="7" t="s">
        <v>3</v>
      </c>
      <c r="K583" s="9">
        <v>25</v>
      </c>
      <c r="L583" s="101"/>
      <c r="M583" s="101"/>
    </row>
    <row r="584" spans="1:13" ht="16.5" customHeight="1" x14ac:dyDescent="0.2">
      <c r="A584" s="6">
        <v>1091</v>
      </c>
      <c r="B584" s="102" t="s">
        <v>1163</v>
      </c>
      <c r="C584" s="103"/>
      <c r="D584" s="102" t="s">
        <v>6</v>
      </c>
      <c r="E584" s="103"/>
      <c r="F584" s="104">
        <v>61</v>
      </c>
      <c r="G584" s="105"/>
      <c r="H584" s="11">
        <v>1143</v>
      </c>
      <c r="I584" s="7" t="s">
        <v>1164</v>
      </c>
      <c r="J584" s="7" t="s">
        <v>227</v>
      </c>
      <c r="K584" s="9">
        <v>21</v>
      </c>
      <c r="L584" s="101"/>
      <c r="M584" s="101"/>
    </row>
    <row r="585" spans="1:13" ht="16.5" customHeight="1" x14ac:dyDescent="0.2">
      <c r="A585" s="14">
        <v>1092</v>
      </c>
      <c r="B585" s="102" t="s">
        <v>1165</v>
      </c>
      <c r="C585" s="103"/>
      <c r="D585" s="102" t="s">
        <v>323</v>
      </c>
      <c r="E585" s="103"/>
      <c r="F585" s="106">
        <v>64</v>
      </c>
      <c r="G585" s="107"/>
      <c r="H585" s="17">
        <v>1144</v>
      </c>
      <c r="I585" s="7" t="s">
        <v>1166</v>
      </c>
      <c r="J585" s="7" t="s">
        <v>323</v>
      </c>
      <c r="K585" s="15">
        <v>70</v>
      </c>
      <c r="L585" s="101"/>
      <c r="M585" s="101"/>
    </row>
    <row r="586" spans="1:13" ht="17.25" customHeight="1" x14ac:dyDescent="0.2">
      <c r="A586" s="109" t="s">
        <v>1167</v>
      </c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</row>
    <row r="587" spans="1:13" ht="14.45" customHeight="1" x14ac:dyDescent="0.2">
      <c r="A587" s="97" t="s">
        <v>1</v>
      </c>
      <c r="B587" s="98"/>
      <c r="C587" s="99"/>
      <c r="D587" s="100"/>
      <c r="E587" s="99"/>
      <c r="F587" s="100"/>
    </row>
    <row r="588" spans="1:13" ht="16.5" customHeight="1" x14ac:dyDescent="0.2">
      <c r="A588" s="102" t="s">
        <v>1168</v>
      </c>
      <c r="B588" s="103"/>
      <c r="C588" s="102" t="s">
        <v>3</v>
      </c>
      <c r="D588" s="103"/>
      <c r="E588" s="104">
        <v>65</v>
      </c>
      <c r="F588" s="105"/>
    </row>
    <row r="589" spans="1:13" ht="16.5" customHeight="1" x14ac:dyDescent="0.2">
      <c r="A589" s="102" t="s">
        <v>1169</v>
      </c>
      <c r="B589" s="103"/>
      <c r="C589" s="102" t="s">
        <v>6</v>
      </c>
      <c r="D589" s="103"/>
      <c r="E589" s="104">
        <v>90</v>
      </c>
      <c r="F589" s="105"/>
    </row>
    <row r="590" spans="1:13" ht="16.5" customHeight="1" x14ac:dyDescent="0.2">
      <c r="A590" s="102" t="s">
        <v>1170</v>
      </c>
      <c r="B590" s="103"/>
      <c r="C590" s="102" t="s">
        <v>6</v>
      </c>
      <c r="D590" s="103"/>
      <c r="E590" s="104">
        <v>63.5</v>
      </c>
      <c r="F590" s="105"/>
    </row>
    <row r="591" spans="1:13" ht="16.5" customHeight="1" x14ac:dyDescent="0.2">
      <c r="A591" s="102" t="s">
        <v>1171</v>
      </c>
      <c r="B591" s="103"/>
      <c r="C591" s="102" t="s">
        <v>6</v>
      </c>
      <c r="D591" s="103"/>
      <c r="E591" s="104">
        <v>20</v>
      </c>
      <c r="F591" s="105"/>
    </row>
    <row r="592" spans="1:13" ht="16.5" customHeight="1" x14ac:dyDescent="0.2">
      <c r="A592" s="102" t="s">
        <v>1172</v>
      </c>
      <c r="B592" s="103"/>
      <c r="C592" s="102" t="s">
        <v>6</v>
      </c>
      <c r="D592" s="103"/>
      <c r="E592" s="104">
        <v>64</v>
      </c>
      <c r="F592" s="105"/>
    </row>
    <row r="593" spans="1:6" ht="16.5" customHeight="1" x14ac:dyDescent="0.2">
      <c r="A593" s="102" t="s">
        <v>1173</v>
      </c>
      <c r="B593" s="103"/>
      <c r="C593" s="102" t="s">
        <v>3</v>
      </c>
      <c r="D593" s="103"/>
      <c r="E593" s="104">
        <v>40</v>
      </c>
      <c r="F593" s="105"/>
    </row>
    <row r="594" spans="1:6" ht="16.5" customHeight="1" x14ac:dyDescent="0.2">
      <c r="A594" s="102" t="s">
        <v>1174</v>
      </c>
      <c r="B594" s="103"/>
      <c r="C594" s="102" t="s">
        <v>3</v>
      </c>
      <c r="D594" s="103"/>
      <c r="E594" s="104">
        <v>70</v>
      </c>
      <c r="F594" s="105"/>
    </row>
    <row r="595" spans="1:6" ht="16.5" customHeight="1" x14ac:dyDescent="0.2">
      <c r="A595" s="102" t="s">
        <v>1175</v>
      </c>
      <c r="B595" s="103"/>
      <c r="C595" s="102" t="s">
        <v>6</v>
      </c>
      <c r="D595" s="103"/>
      <c r="E595" s="104">
        <v>70</v>
      </c>
      <c r="F595" s="105"/>
    </row>
    <row r="596" spans="1:6" ht="16.5" customHeight="1" x14ac:dyDescent="0.2">
      <c r="A596" s="102" t="s">
        <v>1176</v>
      </c>
      <c r="B596" s="103"/>
      <c r="C596" s="102" t="s">
        <v>6</v>
      </c>
      <c r="D596" s="103"/>
      <c r="E596" s="104">
        <v>104</v>
      </c>
      <c r="F596" s="105"/>
    </row>
    <row r="597" spans="1:6" ht="16.5" customHeight="1" x14ac:dyDescent="0.2">
      <c r="A597" s="102" t="s">
        <v>1177</v>
      </c>
      <c r="B597" s="103"/>
      <c r="C597" s="102" t="s">
        <v>3</v>
      </c>
      <c r="D597" s="103"/>
      <c r="E597" s="104">
        <v>80</v>
      </c>
      <c r="F597" s="105"/>
    </row>
    <row r="598" spans="1:6" ht="16.5" customHeight="1" x14ac:dyDescent="0.2">
      <c r="A598" s="102" t="s">
        <v>1178</v>
      </c>
      <c r="B598" s="103"/>
      <c r="C598" s="102" t="s">
        <v>6</v>
      </c>
      <c r="D598" s="103"/>
      <c r="E598" s="104">
        <v>63</v>
      </c>
      <c r="F598" s="105"/>
    </row>
    <row r="599" spans="1:6" ht="16.5" customHeight="1" x14ac:dyDescent="0.2">
      <c r="A599" s="102" t="s">
        <v>1179</v>
      </c>
      <c r="B599" s="103"/>
      <c r="C599" s="102" t="s">
        <v>6</v>
      </c>
      <c r="D599" s="103"/>
      <c r="E599" s="104">
        <v>18.5</v>
      </c>
      <c r="F599" s="105"/>
    </row>
    <row r="600" spans="1:6" ht="16.5" customHeight="1" x14ac:dyDescent="0.2">
      <c r="A600" s="102" t="s">
        <v>1180</v>
      </c>
      <c r="B600" s="103"/>
      <c r="C600" s="102" t="s">
        <v>6</v>
      </c>
      <c r="D600" s="103"/>
      <c r="E600" s="104">
        <v>250</v>
      </c>
      <c r="F600" s="105"/>
    </row>
    <row r="601" spans="1:6" ht="16.5" customHeight="1" x14ac:dyDescent="0.2">
      <c r="A601" s="102" t="s">
        <v>1181</v>
      </c>
      <c r="B601" s="103"/>
      <c r="C601" s="102" t="s">
        <v>37</v>
      </c>
      <c r="D601" s="103"/>
      <c r="E601" s="104">
        <v>97</v>
      </c>
      <c r="F601" s="105"/>
    </row>
    <row r="602" spans="1:6" ht="16.5" customHeight="1" x14ac:dyDescent="0.2">
      <c r="A602" s="102" t="s">
        <v>1182</v>
      </c>
      <c r="B602" s="103"/>
      <c r="C602" s="102" t="s">
        <v>6</v>
      </c>
      <c r="D602" s="103"/>
      <c r="E602" s="104">
        <v>26</v>
      </c>
      <c r="F602" s="105"/>
    </row>
    <row r="603" spans="1:6" ht="16.5" customHeight="1" x14ac:dyDescent="0.2">
      <c r="A603" s="102" t="s">
        <v>1183</v>
      </c>
      <c r="B603" s="103"/>
      <c r="C603" s="102" t="s">
        <v>3</v>
      </c>
      <c r="D603" s="103"/>
      <c r="E603" s="104">
        <v>28</v>
      </c>
      <c r="F603" s="105"/>
    </row>
    <row r="604" spans="1:6" ht="16.5" customHeight="1" x14ac:dyDescent="0.2">
      <c r="A604" s="102" t="s">
        <v>1184</v>
      </c>
      <c r="B604" s="103"/>
      <c r="C604" s="102" t="s">
        <v>6</v>
      </c>
      <c r="D604" s="103"/>
      <c r="E604" s="104">
        <v>15</v>
      </c>
      <c r="F604" s="105"/>
    </row>
    <row r="605" spans="1:6" ht="16.5" customHeight="1" x14ac:dyDescent="0.2">
      <c r="A605" s="102" t="s">
        <v>1185</v>
      </c>
      <c r="B605" s="103"/>
      <c r="C605" s="102" t="s">
        <v>6</v>
      </c>
      <c r="D605" s="103"/>
      <c r="E605" s="104">
        <v>32</v>
      </c>
      <c r="F605" s="105"/>
    </row>
    <row r="606" spans="1:6" ht="16.5" customHeight="1" x14ac:dyDescent="0.2">
      <c r="A606" s="102" t="s">
        <v>1186</v>
      </c>
      <c r="B606" s="103"/>
      <c r="C606" s="102" t="s">
        <v>45</v>
      </c>
      <c r="D606" s="103"/>
      <c r="E606" s="104">
        <v>44</v>
      </c>
      <c r="F606" s="105"/>
    </row>
    <row r="607" spans="1:6" ht="16.5" customHeight="1" x14ac:dyDescent="0.2">
      <c r="A607" s="102" t="s">
        <v>1187</v>
      </c>
      <c r="B607" s="103"/>
      <c r="C607" s="102" t="s">
        <v>6</v>
      </c>
      <c r="D607" s="103"/>
      <c r="E607" s="104">
        <v>56</v>
      </c>
      <c r="F607" s="105"/>
    </row>
    <row r="608" spans="1:6" ht="16.5" customHeight="1" x14ac:dyDescent="0.2">
      <c r="A608" s="102" t="s">
        <v>1188</v>
      </c>
      <c r="B608" s="103"/>
      <c r="C608" s="102" t="s">
        <v>37</v>
      </c>
      <c r="D608" s="103"/>
      <c r="E608" s="104">
        <v>243</v>
      </c>
      <c r="F608" s="105"/>
    </row>
    <row r="609" spans="1:6" ht="16.5" customHeight="1" x14ac:dyDescent="0.2">
      <c r="A609" s="102" t="s">
        <v>1189</v>
      </c>
      <c r="B609" s="103"/>
      <c r="C609" s="102" t="s">
        <v>3</v>
      </c>
      <c r="D609" s="103"/>
      <c r="E609" s="104">
        <v>24</v>
      </c>
      <c r="F609" s="105"/>
    </row>
    <row r="610" spans="1:6" ht="16.5" customHeight="1" x14ac:dyDescent="0.2">
      <c r="A610" s="102" t="s">
        <v>1190</v>
      </c>
      <c r="B610" s="103"/>
      <c r="C610" s="102" t="s">
        <v>3</v>
      </c>
      <c r="D610" s="103"/>
      <c r="E610" s="104">
        <v>34</v>
      </c>
      <c r="F610" s="105"/>
    </row>
    <row r="611" spans="1:6" ht="16.5" customHeight="1" x14ac:dyDescent="0.2">
      <c r="A611" s="102" t="s">
        <v>1191</v>
      </c>
      <c r="B611" s="103"/>
      <c r="C611" s="102" t="s">
        <v>3</v>
      </c>
      <c r="D611" s="103"/>
      <c r="E611" s="104">
        <v>78</v>
      </c>
      <c r="F611" s="105"/>
    </row>
    <row r="612" spans="1:6" ht="16.5" customHeight="1" x14ac:dyDescent="0.2">
      <c r="A612" s="102" t="s">
        <v>1192</v>
      </c>
      <c r="B612" s="103"/>
      <c r="C612" s="102" t="s">
        <v>3</v>
      </c>
      <c r="D612" s="103"/>
      <c r="E612" s="104">
        <v>50</v>
      </c>
      <c r="F612" s="105"/>
    </row>
    <row r="613" spans="1:6" ht="16.5" customHeight="1" x14ac:dyDescent="0.2">
      <c r="A613" s="102" t="s">
        <v>1193</v>
      </c>
      <c r="B613" s="103"/>
      <c r="C613" s="102" t="s">
        <v>6</v>
      </c>
      <c r="D613" s="103"/>
      <c r="E613" s="104">
        <v>18.600000000000001</v>
      </c>
      <c r="F613" s="105"/>
    </row>
    <row r="614" spans="1:6" ht="16.5" customHeight="1" x14ac:dyDescent="0.2">
      <c r="A614" s="102" t="s">
        <v>1194</v>
      </c>
      <c r="B614" s="103"/>
      <c r="C614" s="102" t="s">
        <v>608</v>
      </c>
      <c r="D614" s="103"/>
      <c r="E614" s="104">
        <v>13</v>
      </c>
      <c r="F614" s="105"/>
    </row>
    <row r="615" spans="1:6" ht="16.5" customHeight="1" x14ac:dyDescent="0.2">
      <c r="A615" s="102" t="s">
        <v>1195</v>
      </c>
      <c r="B615" s="103"/>
      <c r="C615" s="102" t="s">
        <v>37</v>
      </c>
      <c r="D615" s="103"/>
      <c r="E615" s="104">
        <v>48</v>
      </c>
      <c r="F615" s="105"/>
    </row>
    <row r="616" spans="1:6" ht="16.5" customHeight="1" x14ac:dyDescent="0.2">
      <c r="A616" s="102" t="s">
        <v>1196</v>
      </c>
      <c r="B616" s="103"/>
      <c r="C616" s="102" t="s">
        <v>37</v>
      </c>
      <c r="D616" s="103"/>
      <c r="E616" s="104">
        <v>100</v>
      </c>
      <c r="F616" s="105"/>
    </row>
    <row r="617" spans="1:6" ht="16.5" customHeight="1" x14ac:dyDescent="0.2">
      <c r="A617" s="102" t="s">
        <v>1197</v>
      </c>
      <c r="B617" s="103"/>
      <c r="C617" s="102" t="s">
        <v>37</v>
      </c>
      <c r="D617" s="103"/>
      <c r="E617" s="104">
        <v>35</v>
      </c>
      <c r="F617" s="105"/>
    </row>
    <row r="618" spans="1:6" ht="16.5" customHeight="1" x14ac:dyDescent="0.2">
      <c r="A618" s="102" t="s">
        <v>1198</v>
      </c>
      <c r="B618" s="103"/>
      <c r="C618" s="102" t="s">
        <v>37</v>
      </c>
      <c r="D618" s="103"/>
      <c r="E618" s="104">
        <v>33</v>
      </c>
      <c r="F618" s="105"/>
    </row>
    <row r="619" spans="1:6" ht="16.5" customHeight="1" x14ac:dyDescent="0.2">
      <c r="A619" s="102" t="s">
        <v>1199</v>
      </c>
      <c r="B619" s="103"/>
      <c r="C619" s="102" t="s">
        <v>6</v>
      </c>
      <c r="D619" s="103"/>
      <c r="E619" s="104">
        <v>24</v>
      </c>
      <c r="F619" s="105"/>
    </row>
    <row r="620" spans="1:6" ht="16.5" customHeight="1" x14ac:dyDescent="0.2">
      <c r="A620" s="102" t="s">
        <v>1200</v>
      </c>
      <c r="B620" s="103"/>
      <c r="C620" s="102" t="s">
        <v>3</v>
      </c>
      <c r="D620" s="103"/>
      <c r="E620" s="104">
        <v>17.5</v>
      </c>
      <c r="F620" s="105"/>
    </row>
    <row r="621" spans="1:6" ht="16.5" customHeight="1" x14ac:dyDescent="0.2">
      <c r="A621" s="102" t="s">
        <v>1201</v>
      </c>
      <c r="B621" s="103"/>
      <c r="C621" s="102" t="s">
        <v>3</v>
      </c>
      <c r="D621" s="103"/>
      <c r="E621" s="104">
        <v>40</v>
      </c>
      <c r="F621" s="105"/>
    </row>
    <row r="622" spans="1:6" ht="16.5" customHeight="1" x14ac:dyDescent="0.2">
      <c r="A622" s="102" t="s">
        <v>1202</v>
      </c>
      <c r="B622" s="103"/>
      <c r="C622" s="102" t="s">
        <v>6</v>
      </c>
      <c r="D622" s="103"/>
      <c r="E622" s="104">
        <v>82</v>
      </c>
      <c r="F622" s="105"/>
    </row>
    <row r="623" spans="1:6" ht="16.5" customHeight="1" x14ac:dyDescent="0.2">
      <c r="A623" s="102" t="s">
        <v>1203</v>
      </c>
      <c r="B623" s="103"/>
      <c r="C623" s="102" t="s">
        <v>3</v>
      </c>
      <c r="D623" s="103"/>
      <c r="E623" s="104">
        <v>38</v>
      </c>
      <c r="F623" s="105"/>
    </row>
    <row r="624" spans="1:6" ht="16.5" customHeight="1" x14ac:dyDescent="0.2">
      <c r="A624" s="102" t="s">
        <v>1204</v>
      </c>
      <c r="B624" s="103"/>
      <c r="C624" s="102" t="s">
        <v>3</v>
      </c>
      <c r="D624" s="103"/>
      <c r="E624" s="104">
        <v>27</v>
      </c>
      <c r="F624" s="105"/>
    </row>
    <row r="625" spans="1:8" ht="16.5" customHeight="1" x14ac:dyDescent="0.2">
      <c r="A625" s="102" t="s">
        <v>1205</v>
      </c>
      <c r="B625" s="103"/>
      <c r="C625" s="102" t="s">
        <v>6</v>
      </c>
      <c r="D625" s="103"/>
      <c r="E625" s="104">
        <v>36</v>
      </c>
      <c r="F625" s="105"/>
    </row>
    <row r="626" spans="1:8" ht="16.5" customHeight="1" x14ac:dyDescent="0.2">
      <c r="A626" s="102" t="s">
        <v>1206</v>
      </c>
      <c r="B626" s="103"/>
      <c r="C626" s="102" t="s">
        <v>6</v>
      </c>
      <c r="D626" s="103"/>
      <c r="E626" s="104">
        <v>165</v>
      </c>
      <c r="F626" s="105"/>
    </row>
    <row r="627" spans="1:8" ht="16.5" customHeight="1" x14ac:dyDescent="0.2">
      <c r="A627" s="102" t="s">
        <v>1207</v>
      </c>
      <c r="B627" s="103"/>
      <c r="C627" s="102" t="s">
        <v>6</v>
      </c>
      <c r="D627" s="103"/>
      <c r="E627" s="104">
        <v>122</v>
      </c>
      <c r="F627" s="105"/>
    </row>
    <row r="628" spans="1:8" ht="16.5" customHeight="1" x14ac:dyDescent="0.2">
      <c r="A628" s="102" t="s">
        <v>1208</v>
      </c>
      <c r="B628" s="103"/>
      <c r="C628" s="102" t="s">
        <v>6</v>
      </c>
      <c r="D628" s="103"/>
      <c r="E628" s="104">
        <v>59</v>
      </c>
      <c r="F628" s="105"/>
    </row>
    <row r="629" spans="1:8" ht="16.5" customHeight="1" x14ac:dyDescent="0.2">
      <c r="A629" s="102" t="s">
        <v>1209</v>
      </c>
      <c r="B629" s="103"/>
      <c r="C629" s="102" t="s">
        <v>6</v>
      </c>
      <c r="D629" s="103"/>
      <c r="E629" s="104">
        <v>36</v>
      </c>
      <c r="F629" s="105"/>
    </row>
    <row r="630" spans="1:8" ht="16.5" customHeight="1" x14ac:dyDescent="0.2">
      <c r="A630" s="102" t="s">
        <v>1210</v>
      </c>
      <c r="B630" s="103"/>
      <c r="C630" s="102" t="s">
        <v>6</v>
      </c>
      <c r="D630" s="103"/>
      <c r="E630" s="104">
        <v>18.5</v>
      </c>
      <c r="F630" s="105"/>
    </row>
    <row r="631" spans="1:8" ht="16.5" customHeight="1" x14ac:dyDescent="0.2">
      <c r="A631" s="102" t="s">
        <v>1211</v>
      </c>
      <c r="B631" s="103"/>
      <c r="C631" s="102" t="s">
        <v>6</v>
      </c>
      <c r="D631" s="103"/>
      <c r="E631" s="104">
        <v>56</v>
      </c>
      <c r="F631" s="105"/>
    </row>
    <row r="632" spans="1:8" ht="16.5" customHeight="1" x14ac:dyDescent="0.2">
      <c r="A632" s="102" t="s">
        <v>1212</v>
      </c>
      <c r="B632" s="103"/>
      <c r="C632" s="102" t="s">
        <v>6</v>
      </c>
      <c r="D632" s="103"/>
      <c r="E632" s="104">
        <v>17</v>
      </c>
      <c r="F632" s="105"/>
    </row>
    <row r="633" spans="1:8" ht="16.5" customHeight="1" x14ac:dyDescent="0.2">
      <c r="A633" s="102" t="s">
        <v>1213</v>
      </c>
      <c r="B633" s="103"/>
      <c r="C633" s="102" t="s">
        <v>3</v>
      </c>
      <c r="D633" s="103"/>
      <c r="E633" s="104">
        <v>14.5</v>
      </c>
      <c r="F633" s="105"/>
    </row>
    <row r="634" spans="1:8" ht="16.5" customHeight="1" x14ac:dyDescent="0.2">
      <c r="A634" s="102" t="s">
        <v>1214</v>
      </c>
      <c r="B634" s="103"/>
      <c r="C634" s="102" t="s">
        <v>3</v>
      </c>
      <c r="D634" s="103"/>
      <c r="E634" s="104">
        <v>33</v>
      </c>
      <c r="F634" s="105"/>
    </row>
    <row r="635" spans="1:8" ht="16.5" customHeight="1" x14ac:dyDescent="0.2">
      <c r="A635" s="102" t="s">
        <v>1215</v>
      </c>
      <c r="B635" s="103"/>
      <c r="C635" s="102" t="s">
        <v>3</v>
      </c>
      <c r="D635" s="103"/>
      <c r="E635" s="104">
        <v>34.5</v>
      </c>
      <c r="F635" s="105"/>
    </row>
    <row r="636" spans="1:8" ht="16.5" customHeight="1" x14ac:dyDescent="0.2">
      <c r="A636" s="102" t="s">
        <v>1216</v>
      </c>
      <c r="B636" s="103"/>
      <c r="C636" s="102" t="s">
        <v>6</v>
      </c>
      <c r="D636" s="103"/>
      <c r="E636" s="104">
        <v>126</v>
      </c>
      <c r="F636" s="105"/>
    </row>
    <row r="637" spans="1:8" ht="16.5" customHeight="1" x14ac:dyDescent="0.2">
      <c r="A637" s="102" t="s">
        <v>1217</v>
      </c>
      <c r="B637" s="103"/>
      <c r="C637" s="102" t="s">
        <v>227</v>
      </c>
      <c r="D637" s="103"/>
      <c r="E637" s="104">
        <v>18</v>
      </c>
      <c r="F637" s="105"/>
    </row>
    <row r="638" spans="1:8" ht="16.5" customHeight="1" x14ac:dyDescent="0.2">
      <c r="A638" s="102" t="s">
        <v>1218</v>
      </c>
      <c r="B638" s="103"/>
      <c r="C638" s="102" t="s">
        <v>227</v>
      </c>
      <c r="D638" s="103"/>
      <c r="E638" s="104">
        <v>22</v>
      </c>
      <c r="F638" s="105"/>
    </row>
    <row r="639" spans="1:8" ht="16.5" customHeight="1" x14ac:dyDescent="0.2">
      <c r="A639" s="102" t="s">
        <v>1219</v>
      </c>
      <c r="B639" s="103"/>
      <c r="C639" s="102" t="s">
        <v>1220</v>
      </c>
      <c r="D639" s="103"/>
      <c r="E639" s="106">
        <v>29</v>
      </c>
      <c r="F639" s="107"/>
    </row>
    <row r="640" spans="1:8" ht="14.45" customHeight="1" x14ac:dyDescent="0.2">
      <c r="A640" s="1"/>
      <c r="B640" s="97" t="s">
        <v>1</v>
      </c>
      <c r="C640" s="98"/>
      <c r="D640" s="99"/>
      <c r="E640" s="100"/>
      <c r="F640" s="99"/>
      <c r="G640" s="100"/>
      <c r="H640" s="4"/>
    </row>
    <row r="641" spans="1:8" ht="16.5" customHeight="1" x14ac:dyDescent="0.2">
      <c r="A641" s="6">
        <v>1145</v>
      </c>
      <c r="B641" s="102" t="s">
        <v>1221</v>
      </c>
      <c r="C641" s="103"/>
      <c r="D641" s="102" t="s">
        <v>6</v>
      </c>
      <c r="E641" s="103"/>
      <c r="F641" s="104">
        <v>41</v>
      </c>
      <c r="G641" s="105"/>
      <c r="H641" s="21">
        <v>1197</v>
      </c>
    </row>
    <row r="642" spans="1:8" ht="16.5" customHeight="1" x14ac:dyDescent="0.2">
      <c r="A642" s="6">
        <v>1146</v>
      </c>
      <c r="B642" s="102" t="s">
        <v>1222</v>
      </c>
      <c r="C642" s="103"/>
      <c r="D642" s="102" t="s">
        <v>3</v>
      </c>
      <c r="E642" s="103"/>
      <c r="F642" s="104">
        <v>24</v>
      </c>
      <c r="G642" s="105"/>
      <c r="H642" s="21">
        <v>1198</v>
      </c>
    </row>
    <row r="643" spans="1:8" ht="16.5" customHeight="1" x14ac:dyDescent="0.2">
      <c r="A643" s="6">
        <v>1147</v>
      </c>
      <c r="B643" s="102" t="s">
        <v>1223</v>
      </c>
      <c r="C643" s="103"/>
      <c r="D643" s="102" t="s">
        <v>12</v>
      </c>
      <c r="E643" s="103"/>
      <c r="F643" s="104">
        <v>40</v>
      </c>
      <c r="G643" s="105"/>
      <c r="H643" s="21">
        <v>1199</v>
      </c>
    </row>
    <row r="644" spans="1:8" ht="16.5" customHeight="1" x14ac:dyDescent="0.2">
      <c r="A644" s="6">
        <v>1148</v>
      </c>
      <c r="B644" s="102" t="s">
        <v>1224</v>
      </c>
      <c r="C644" s="103"/>
      <c r="D644" s="102" t="s">
        <v>6</v>
      </c>
      <c r="E644" s="103"/>
      <c r="F644" s="104">
        <v>35</v>
      </c>
      <c r="G644" s="105"/>
      <c r="H644" s="21">
        <v>1200</v>
      </c>
    </row>
    <row r="645" spans="1:8" ht="16.5" customHeight="1" x14ac:dyDescent="0.2">
      <c r="A645" s="6">
        <v>1149</v>
      </c>
      <c r="B645" s="102" t="s">
        <v>1225</v>
      </c>
      <c r="C645" s="103"/>
      <c r="D645" s="102" t="s">
        <v>6</v>
      </c>
      <c r="E645" s="103"/>
      <c r="F645" s="104">
        <v>54</v>
      </c>
      <c r="G645" s="105"/>
      <c r="H645" s="21">
        <v>1201</v>
      </c>
    </row>
    <row r="646" spans="1:8" ht="16.5" customHeight="1" x14ac:dyDescent="0.2">
      <c r="A646" s="6">
        <v>1150</v>
      </c>
      <c r="B646" s="102" t="s">
        <v>1226</v>
      </c>
      <c r="C646" s="103"/>
      <c r="D646" s="102" t="s">
        <v>6</v>
      </c>
      <c r="E646" s="103"/>
      <c r="F646" s="104">
        <v>155</v>
      </c>
      <c r="G646" s="105"/>
      <c r="H646" s="21">
        <v>1202</v>
      </c>
    </row>
    <row r="647" spans="1:8" ht="16.5" customHeight="1" x14ac:dyDescent="0.2">
      <c r="A647" s="6">
        <v>1151</v>
      </c>
      <c r="B647" s="102" t="s">
        <v>1227</v>
      </c>
      <c r="C647" s="103"/>
      <c r="D647" s="102" t="s">
        <v>3</v>
      </c>
      <c r="E647" s="103"/>
      <c r="F647" s="104">
        <v>36</v>
      </c>
      <c r="G647" s="105"/>
      <c r="H647" s="21">
        <v>1203</v>
      </c>
    </row>
    <row r="648" spans="1:8" ht="16.5" customHeight="1" x14ac:dyDescent="0.2">
      <c r="A648" s="6">
        <v>1152</v>
      </c>
      <c r="B648" s="102" t="s">
        <v>1228</v>
      </c>
      <c r="C648" s="103"/>
      <c r="D648" s="102" t="s">
        <v>3</v>
      </c>
      <c r="E648" s="103"/>
      <c r="F648" s="104">
        <v>66</v>
      </c>
      <c r="G648" s="105"/>
      <c r="H648" s="21">
        <v>1204</v>
      </c>
    </row>
    <row r="649" spans="1:8" ht="16.5" customHeight="1" x14ac:dyDescent="0.2">
      <c r="A649" s="6">
        <v>1153</v>
      </c>
      <c r="B649" s="102" t="s">
        <v>1229</v>
      </c>
      <c r="C649" s="103"/>
      <c r="D649" s="102" t="s">
        <v>3</v>
      </c>
      <c r="E649" s="103"/>
      <c r="F649" s="104">
        <v>24.5</v>
      </c>
      <c r="G649" s="105"/>
      <c r="H649" s="21">
        <v>1205</v>
      </c>
    </row>
    <row r="650" spans="1:8" ht="16.5" customHeight="1" x14ac:dyDescent="0.2">
      <c r="A650" s="6">
        <v>1154</v>
      </c>
      <c r="B650" s="102" t="s">
        <v>1230</v>
      </c>
      <c r="C650" s="103"/>
      <c r="D650" s="102" t="s">
        <v>3</v>
      </c>
      <c r="E650" s="103"/>
      <c r="F650" s="104">
        <v>23.9</v>
      </c>
      <c r="G650" s="105"/>
      <c r="H650" s="21">
        <v>1206</v>
      </c>
    </row>
    <row r="651" spans="1:8" ht="16.5" customHeight="1" x14ac:dyDescent="0.2">
      <c r="A651" s="6">
        <v>1155</v>
      </c>
      <c r="B651" s="102" t="s">
        <v>1231</v>
      </c>
      <c r="C651" s="103"/>
      <c r="D651" s="102" t="s">
        <v>6</v>
      </c>
      <c r="E651" s="103"/>
      <c r="F651" s="104">
        <v>145</v>
      </c>
      <c r="G651" s="105"/>
      <c r="H651" s="21">
        <v>1207</v>
      </c>
    </row>
    <row r="652" spans="1:8" ht="16.5" customHeight="1" x14ac:dyDescent="0.2">
      <c r="A652" s="6">
        <v>1156</v>
      </c>
      <c r="B652" s="102" t="s">
        <v>1232</v>
      </c>
      <c r="C652" s="103"/>
      <c r="D652" s="102" t="s">
        <v>37</v>
      </c>
      <c r="E652" s="103"/>
      <c r="F652" s="104">
        <v>75</v>
      </c>
      <c r="G652" s="105"/>
      <c r="H652" s="21">
        <v>1208</v>
      </c>
    </row>
    <row r="653" spans="1:8" ht="16.5" customHeight="1" x14ac:dyDescent="0.2">
      <c r="A653" s="6">
        <v>1157</v>
      </c>
      <c r="B653" s="102" t="s">
        <v>1233</v>
      </c>
      <c r="C653" s="103"/>
      <c r="D653" s="102" t="s">
        <v>6</v>
      </c>
      <c r="E653" s="103"/>
      <c r="F653" s="104">
        <v>117</v>
      </c>
      <c r="G653" s="105"/>
      <c r="H653" s="21">
        <v>1209</v>
      </c>
    </row>
    <row r="654" spans="1:8" ht="16.5" customHeight="1" x14ac:dyDescent="0.2">
      <c r="A654" s="6">
        <v>1158</v>
      </c>
      <c r="B654" s="102" t="s">
        <v>1234</v>
      </c>
      <c r="C654" s="103"/>
      <c r="D654" s="102" t="s">
        <v>37</v>
      </c>
      <c r="E654" s="103"/>
      <c r="F654" s="104">
        <v>65</v>
      </c>
      <c r="G654" s="105"/>
      <c r="H654" s="21">
        <v>1210</v>
      </c>
    </row>
    <row r="655" spans="1:8" ht="16.5" customHeight="1" x14ac:dyDescent="0.2">
      <c r="A655" s="6">
        <v>1159</v>
      </c>
      <c r="B655" s="102" t="s">
        <v>1235</v>
      </c>
      <c r="C655" s="103"/>
      <c r="D655" s="102" t="s">
        <v>3</v>
      </c>
      <c r="E655" s="103"/>
      <c r="F655" s="104">
        <v>50</v>
      </c>
      <c r="G655" s="105"/>
      <c r="H655" s="21">
        <v>1211</v>
      </c>
    </row>
    <row r="656" spans="1:8" ht="16.5" customHeight="1" x14ac:dyDescent="0.2">
      <c r="A656" s="6">
        <v>1160</v>
      </c>
      <c r="B656" s="102" t="s">
        <v>1236</v>
      </c>
      <c r="C656" s="103"/>
      <c r="D656" s="102" t="s">
        <v>6</v>
      </c>
      <c r="E656" s="103"/>
      <c r="F656" s="104">
        <v>133</v>
      </c>
      <c r="G656" s="105"/>
      <c r="H656" s="21">
        <v>1212</v>
      </c>
    </row>
    <row r="657" spans="1:8" ht="16.5" customHeight="1" x14ac:dyDescent="0.2">
      <c r="A657" s="6">
        <v>1161</v>
      </c>
      <c r="B657" s="102" t="s">
        <v>1237</v>
      </c>
      <c r="C657" s="103"/>
      <c r="D657" s="102" t="s">
        <v>6</v>
      </c>
      <c r="E657" s="103"/>
      <c r="F657" s="104">
        <v>6</v>
      </c>
      <c r="G657" s="105"/>
      <c r="H657" s="21">
        <v>1213</v>
      </c>
    </row>
    <row r="658" spans="1:8" ht="16.5" customHeight="1" x14ac:dyDescent="0.2">
      <c r="A658" s="6">
        <v>1162</v>
      </c>
      <c r="B658" s="102" t="s">
        <v>1238</v>
      </c>
      <c r="C658" s="103"/>
      <c r="D658" s="102" t="s">
        <v>3</v>
      </c>
      <c r="E658" s="103"/>
      <c r="F658" s="104">
        <v>60</v>
      </c>
      <c r="G658" s="105"/>
      <c r="H658" s="21">
        <v>1214</v>
      </c>
    </row>
    <row r="659" spans="1:8" ht="16.5" customHeight="1" x14ac:dyDescent="0.2">
      <c r="A659" s="6">
        <v>1163</v>
      </c>
      <c r="B659" s="102" t="s">
        <v>1239</v>
      </c>
      <c r="C659" s="103"/>
      <c r="D659" s="102" t="s">
        <v>3</v>
      </c>
      <c r="E659" s="103"/>
      <c r="F659" s="104">
        <v>29</v>
      </c>
      <c r="G659" s="105"/>
      <c r="H659" s="21">
        <v>1215</v>
      </c>
    </row>
    <row r="660" spans="1:8" ht="16.5" customHeight="1" x14ac:dyDescent="0.2">
      <c r="A660" s="6">
        <v>1164</v>
      </c>
      <c r="B660" s="102" t="s">
        <v>1240</v>
      </c>
      <c r="C660" s="103"/>
      <c r="D660" s="102" t="s">
        <v>6</v>
      </c>
      <c r="E660" s="103"/>
      <c r="F660" s="104">
        <v>50</v>
      </c>
      <c r="G660" s="105"/>
      <c r="H660" s="21">
        <v>1216</v>
      </c>
    </row>
    <row r="661" spans="1:8" ht="16.5" customHeight="1" x14ac:dyDescent="0.2">
      <c r="A661" s="6">
        <v>1165</v>
      </c>
      <c r="B661" s="102" t="s">
        <v>1241</v>
      </c>
      <c r="C661" s="103"/>
      <c r="D661" s="102" t="s">
        <v>3</v>
      </c>
      <c r="E661" s="103"/>
      <c r="F661" s="104">
        <v>81</v>
      </c>
      <c r="G661" s="105"/>
      <c r="H661" s="21">
        <v>1217</v>
      </c>
    </row>
    <row r="662" spans="1:8" ht="16.5" customHeight="1" x14ac:dyDescent="0.2">
      <c r="A662" s="6">
        <v>1166</v>
      </c>
      <c r="B662" s="102" t="s">
        <v>1242</v>
      </c>
      <c r="C662" s="103"/>
      <c r="D662" s="102" t="s">
        <v>3</v>
      </c>
      <c r="E662" s="103"/>
      <c r="F662" s="104">
        <v>75</v>
      </c>
      <c r="G662" s="105"/>
      <c r="H662" s="21">
        <v>1218</v>
      </c>
    </row>
    <row r="663" spans="1:8" ht="16.5" customHeight="1" x14ac:dyDescent="0.2">
      <c r="A663" s="6">
        <v>1167</v>
      </c>
      <c r="B663" s="102" t="s">
        <v>1243</v>
      </c>
      <c r="C663" s="103"/>
      <c r="D663" s="102" t="s">
        <v>37</v>
      </c>
      <c r="E663" s="103"/>
      <c r="F663" s="104">
        <v>110</v>
      </c>
      <c r="G663" s="105"/>
      <c r="H663" s="21">
        <v>1219</v>
      </c>
    </row>
    <row r="664" spans="1:8" ht="16.5" customHeight="1" x14ac:dyDescent="0.2">
      <c r="A664" s="6">
        <v>1168</v>
      </c>
      <c r="B664" s="102" t="s">
        <v>1244</v>
      </c>
      <c r="C664" s="103"/>
      <c r="D664" s="102" t="s">
        <v>37</v>
      </c>
      <c r="E664" s="103"/>
      <c r="F664" s="104">
        <v>105</v>
      </c>
      <c r="G664" s="105"/>
      <c r="H664" s="21">
        <v>1220</v>
      </c>
    </row>
    <row r="665" spans="1:8" ht="16.5" customHeight="1" x14ac:dyDescent="0.2">
      <c r="A665" s="6">
        <v>1169</v>
      </c>
      <c r="B665" s="102" t="s">
        <v>1245</v>
      </c>
      <c r="C665" s="103"/>
      <c r="D665" s="102" t="s">
        <v>6</v>
      </c>
      <c r="E665" s="103"/>
      <c r="F665" s="104">
        <v>188</v>
      </c>
      <c r="G665" s="105"/>
      <c r="H665" s="21">
        <v>1221</v>
      </c>
    </row>
    <row r="666" spans="1:8" ht="16.5" customHeight="1" x14ac:dyDescent="0.2">
      <c r="A666" s="6">
        <v>1170</v>
      </c>
      <c r="B666" s="102" t="s">
        <v>1246</v>
      </c>
      <c r="C666" s="103"/>
      <c r="D666" s="102" t="s">
        <v>3</v>
      </c>
      <c r="E666" s="103"/>
      <c r="F666" s="104">
        <v>59</v>
      </c>
      <c r="G666" s="105"/>
      <c r="H666" s="21">
        <v>1222</v>
      </c>
    </row>
    <row r="667" spans="1:8" ht="16.5" customHeight="1" x14ac:dyDescent="0.2">
      <c r="A667" s="6">
        <v>1171</v>
      </c>
      <c r="B667" s="102" t="s">
        <v>1247</v>
      </c>
      <c r="C667" s="103"/>
      <c r="D667" s="102" t="s">
        <v>37</v>
      </c>
      <c r="E667" s="103"/>
      <c r="F667" s="104">
        <v>72.5</v>
      </c>
      <c r="G667" s="105"/>
      <c r="H667" s="21">
        <v>1223</v>
      </c>
    </row>
    <row r="668" spans="1:8" ht="16.5" customHeight="1" x14ac:dyDescent="0.2">
      <c r="A668" s="6">
        <v>1172</v>
      </c>
      <c r="B668" s="102" t="s">
        <v>1248</v>
      </c>
      <c r="C668" s="103"/>
      <c r="D668" s="102" t="s">
        <v>6</v>
      </c>
      <c r="E668" s="103"/>
      <c r="F668" s="104">
        <v>85</v>
      </c>
      <c r="G668" s="105"/>
      <c r="H668" s="21">
        <v>1224</v>
      </c>
    </row>
    <row r="669" spans="1:8" ht="16.5" customHeight="1" x14ac:dyDescent="0.2">
      <c r="A669" s="6">
        <v>1173</v>
      </c>
      <c r="B669" s="102" t="s">
        <v>1249</v>
      </c>
      <c r="C669" s="103"/>
      <c r="D669" s="102" t="s">
        <v>6</v>
      </c>
      <c r="E669" s="103"/>
      <c r="F669" s="104">
        <v>79</v>
      </c>
      <c r="G669" s="105"/>
      <c r="H669" s="21">
        <v>1225</v>
      </c>
    </row>
    <row r="670" spans="1:8" ht="16.5" customHeight="1" x14ac:dyDescent="0.2">
      <c r="A670" s="6">
        <v>1174</v>
      </c>
      <c r="B670" s="102" t="s">
        <v>1250</v>
      </c>
      <c r="C670" s="103"/>
      <c r="D670" s="102" t="s">
        <v>3</v>
      </c>
      <c r="E670" s="103"/>
      <c r="F670" s="104">
        <v>7.5</v>
      </c>
      <c r="G670" s="105"/>
      <c r="H670" s="21">
        <v>1226</v>
      </c>
    </row>
    <row r="671" spans="1:8" ht="16.5" customHeight="1" x14ac:dyDescent="0.2">
      <c r="A671" s="6">
        <v>1175</v>
      </c>
      <c r="B671" s="102" t="s">
        <v>1251</v>
      </c>
      <c r="C671" s="103"/>
      <c r="D671" s="102" t="s">
        <v>6</v>
      </c>
      <c r="E671" s="103"/>
      <c r="F671" s="104">
        <v>107</v>
      </c>
      <c r="G671" s="105"/>
      <c r="H671" s="21">
        <v>1227</v>
      </c>
    </row>
    <row r="672" spans="1:8" ht="16.5" customHeight="1" x14ac:dyDescent="0.2">
      <c r="A672" s="6">
        <v>1176</v>
      </c>
      <c r="B672" s="102" t="s">
        <v>1252</v>
      </c>
      <c r="C672" s="103"/>
      <c r="D672" s="102" t="s">
        <v>6</v>
      </c>
      <c r="E672" s="103"/>
      <c r="F672" s="104">
        <v>132</v>
      </c>
      <c r="G672" s="105"/>
      <c r="H672" s="21">
        <v>1228</v>
      </c>
    </row>
    <row r="673" spans="1:8" ht="16.5" customHeight="1" x14ac:dyDescent="0.2">
      <c r="A673" s="6">
        <v>1177</v>
      </c>
      <c r="B673" s="102" t="s">
        <v>1253</v>
      </c>
      <c r="C673" s="103"/>
      <c r="D673" s="102" t="s">
        <v>6</v>
      </c>
      <c r="E673" s="103"/>
      <c r="F673" s="104">
        <v>32</v>
      </c>
      <c r="G673" s="105"/>
      <c r="H673" s="21">
        <v>1229</v>
      </c>
    </row>
    <row r="674" spans="1:8" ht="16.5" customHeight="1" x14ac:dyDescent="0.2">
      <c r="A674" s="6">
        <v>1178</v>
      </c>
      <c r="B674" s="102" t="s">
        <v>1254</v>
      </c>
      <c r="C674" s="103"/>
      <c r="D674" s="102" t="s">
        <v>6</v>
      </c>
      <c r="E674" s="103"/>
      <c r="F674" s="104">
        <v>24</v>
      </c>
      <c r="G674" s="105"/>
      <c r="H674" s="21">
        <v>1230</v>
      </c>
    </row>
    <row r="675" spans="1:8" ht="16.5" customHeight="1" x14ac:dyDescent="0.2">
      <c r="A675" s="6">
        <v>1179</v>
      </c>
      <c r="B675" s="102" t="s">
        <v>1255</v>
      </c>
      <c r="C675" s="103"/>
      <c r="D675" s="102" t="s">
        <v>6</v>
      </c>
      <c r="E675" s="103"/>
      <c r="F675" s="104">
        <v>20</v>
      </c>
      <c r="G675" s="105"/>
      <c r="H675" s="21">
        <v>1231</v>
      </c>
    </row>
    <row r="676" spans="1:8" ht="16.5" customHeight="1" x14ac:dyDescent="0.2">
      <c r="A676" s="6">
        <v>1180</v>
      </c>
      <c r="B676" s="102" t="s">
        <v>1256</v>
      </c>
      <c r="C676" s="103"/>
      <c r="D676" s="102" t="s">
        <v>6</v>
      </c>
      <c r="E676" s="103"/>
      <c r="F676" s="104">
        <v>77</v>
      </c>
      <c r="G676" s="105"/>
      <c r="H676" s="21">
        <v>1232</v>
      </c>
    </row>
    <row r="677" spans="1:8" ht="16.5" customHeight="1" x14ac:dyDescent="0.2">
      <c r="A677" s="6">
        <v>1181</v>
      </c>
      <c r="B677" s="102" t="s">
        <v>1257</v>
      </c>
      <c r="C677" s="103"/>
      <c r="D677" s="102" t="s">
        <v>6</v>
      </c>
      <c r="E677" s="103"/>
      <c r="F677" s="104">
        <v>10</v>
      </c>
      <c r="G677" s="105"/>
      <c r="H677" s="21">
        <v>1233</v>
      </c>
    </row>
    <row r="678" spans="1:8" ht="16.5" customHeight="1" x14ac:dyDescent="0.2">
      <c r="A678" s="6">
        <v>1182</v>
      </c>
      <c r="B678" s="102" t="s">
        <v>1258</v>
      </c>
      <c r="C678" s="103"/>
      <c r="D678" s="102" t="s">
        <v>6</v>
      </c>
      <c r="E678" s="103"/>
      <c r="F678" s="104">
        <v>68</v>
      </c>
      <c r="G678" s="105"/>
      <c r="H678" s="21">
        <v>1234</v>
      </c>
    </row>
    <row r="679" spans="1:8" ht="16.5" customHeight="1" x14ac:dyDescent="0.2">
      <c r="A679" s="6">
        <v>1183</v>
      </c>
      <c r="B679" s="102" t="s">
        <v>1259</v>
      </c>
      <c r="C679" s="103"/>
      <c r="D679" s="102" t="s">
        <v>6</v>
      </c>
      <c r="E679" s="103"/>
      <c r="F679" s="104">
        <v>46</v>
      </c>
      <c r="G679" s="105"/>
      <c r="H679" s="21">
        <v>1235</v>
      </c>
    </row>
    <row r="680" spans="1:8" ht="16.5" customHeight="1" x14ac:dyDescent="0.2">
      <c r="A680" s="6">
        <v>1184</v>
      </c>
      <c r="B680" s="102" t="s">
        <v>1260</v>
      </c>
      <c r="C680" s="103"/>
      <c r="D680" s="102" t="s">
        <v>6</v>
      </c>
      <c r="E680" s="103"/>
      <c r="F680" s="104">
        <v>46</v>
      </c>
      <c r="G680" s="105"/>
      <c r="H680" s="21">
        <v>1236</v>
      </c>
    </row>
    <row r="681" spans="1:8" ht="16.5" customHeight="1" x14ac:dyDescent="0.2">
      <c r="A681" s="6">
        <v>1185</v>
      </c>
      <c r="B681" s="102" t="s">
        <v>1261</v>
      </c>
      <c r="C681" s="103"/>
      <c r="D681" s="102" t="s">
        <v>37</v>
      </c>
      <c r="E681" s="103"/>
      <c r="F681" s="104">
        <v>50</v>
      </c>
      <c r="G681" s="105"/>
      <c r="H681" s="21">
        <v>1237</v>
      </c>
    </row>
    <row r="682" spans="1:8" ht="16.5" customHeight="1" x14ac:dyDescent="0.2">
      <c r="A682" s="6">
        <v>1186</v>
      </c>
      <c r="B682" s="102" t="s">
        <v>1262</v>
      </c>
      <c r="C682" s="103"/>
      <c r="D682" s="102" t="s">
        <v>37</v>
      </c>
      <c r="E682" s="103"/>
      <c r="F682" s="104">
        <v>82</v>
      </c>
      <c r="G682" s="105"/>
      <c r="H682" s="21">
        <v>1238</v>
      </c>
    </row>
    <row r="683" spans="1:8" ht="16.5" customHeight="1" x14ac:dyDescent="0.2">
      <c r="A683" s="6">
        <v>1187</v>
      </c>
      <c r="B683" s="102" t="s">
        <v>1263</v>
      </c>
      <c r="C683" s="103"/>
      <c r="D683" s="102" t="s">
        <v>6</v>
      </c>
      <c r="E683" s="103"/>
      <c r="F683" s="104">
        <v>50</v>
      </c>
      <c r="G683" s="105"/>
      <c r="H683" s="21">
        <v>1239</v>
      </c>
    </row>
    <row r="684" spans="1:8" ht="16.5" customHeight="1" x14ac:dyDescent="0.2">
      <c r="A684" s="6">
        <v>1188</v>
      </c>
      <c r="B684" s="102" t="s">
        <v>1264</v>
      </c>
      <c r="C684" s="103"/>
      <c r="D684" s="102" t="s">
        <v>6</v>
      </c>
      <c r="E684" s="103"/>
      <c r="F684" s="104">
        <v>45</v>
      </c>
      <c r="G684" s="105"/>
      <c r="H684" s="21">
        <v>1240</v>
      </c>
    </row>
    <row r="685" spans="1:8" ht="16.5" customHeight="1" x14ac:dyDescent="0.2">
      <c r="A685" s="6">
        <v>1189</v>
      </c>
      <c r="B685" s="102" t="s">
        <v>1265</v>
      </c>
      <c r="C685" s="103"/>
      <c r="D685" s="102" t="s">
        <v>3</v>
      </c>
      <c r="E685" s="103"/>
      <c r="F685" s="104">
        <v>29</v>
      </c>
      <c r="G685" s="105"/>
      <c r="H685" s="21">
        <v>1241</v>
      </c>
    </row>
    <row r="686" spans="1:8" ht="16.5" customHeight="1" x14ac:dyDescent="0.2">
      <c r="A686" s="6">
        <v>1190</v>
      </c>
      <c r="B686" s="102" t="s">
        <v>1266</v>
      </c>
      <c r="C686" s="103"/>
      <c r="D686" s="102" t="s">
        <v>37</v>
      </c>
      <c r="E686" s="103"/>
      <c r="F686" s="104">
        <v>48</v>
      </c>
      <c r="G686" s="105"/>
      <c r="H686" s="21">
        <v>1242</v>
      </c>
    </row>
    <row r="687" spans="1:8" ht="16.5" customHeight="1" x14ac:dyDescent="0.2">
      <c r="A687" s="6">
        <v>1191</v>
      </c>
      <c r="B687" s="102" t="s">
        <v>1267</v>
      </c>
      <c r="C687" s="103"/>
      <c r="D687" s="102" t="s">
        <v>6</v>
      </c>
      <c r="E687" s="103"/>
      <c r="F687" s="104">
        <v>175</v>
      </c>
      <c r="G687" s="105"/>
      <c r="H687" s="21">
        <v>1243</v>
      </c>
    </row>
    <row r="688" spans="1:8" ht="16.5" customHeight="1" x14ac:dyDescent="0.2">
      <c r="A688" s="6">
        <v>1192</v>
      </c>
      <c r="B688" s="102" t="s">
        <v>1268</v>
      </c>
      <c r="C688" s="103"/>
      <c r="D688" s="102" t="s">
        <v>6</v>
      </c>
      <c r="E688" s="103"/>
      <c r="F688" s="104">
        <v>97</v>
      </c>
      <c r="G688" s="105"/>
      <c r="H688" s="21">
        <v>1244</v>
      </c>
    </row>
    <row r="689" spans="1:13" ht="16.5" customHeight="1" x14ac:dyDescent="0.2">
      <c r="A689" s="6">
        <v>1193</v>
      </c>
      <c r="B689" s="102" t="s">
        <v>1269</v>
      </c>
      <c r="C689" s="103"/>
      <c r="D689" s="102" t="s">
        <v>6</v>
      </c>
      <c r="E689" s="103"/>
      <c r="F689" s="104">
        <v>132</v>
      </c>
      <c r="G689" s="105"/>
      <c r="H689" s="21">
        <v>1245</v>
      </c>
    </row>
    <row r="690" spans="1:13" ht="16.5" customHeight="1" x14ac:dyDescent="0.2">
      <c r="A690" s="6">
        <v>1194</v>
      </c>
      <c r="B690" s="102" t="s">
        <v>1270</v>
      </c>
      <c r="C690" s="103"/>
      <c r="D690" s="102" t="s">
        <v>37</v>
      </c>
      <c r="E690" s="103"/>
      <c r="F690" s="104">
        <v>77</v>
      </c>
      <c r="G690" s="105"/>
      <c r="H690" s="21">
        <v>1246</v>
      </c>
    </row>
    <row r="691" spans="1:13" ht="16.5" customHeight="1" x14ac:dyDescent="0.2">
      <c r="A691" s="6">
        <v>1195</v>
      </c>
      <c r="B691" s="102" t="s">
        <v>1271</v>
      </c>
      <c r="C691" s="103"/>
      <c r="D691" s="102" t="s">
        <v>3</v>
      </c>
      <c r="E691" s="103"/>
      <c r="F691" s="104">
        <v>25</v>
      </c>
      <c r="G691" s="105"/>
      <c r="H691" s="21">
        <v>1247</v>
      </c>
    </row>
    <row r="692" spans="1:13" ht="16.5" customHeight="1" x14ac:dyDescent="0.2">
      <c r="A692" s="22">
        <v>1196</v>
      </c>
      <c r="B692" s="102" t="s">
        <v>1272</v>
      </c>
      <c r="C692" s="103"/>
      <c r="D692" s="102" t="s">
        <v>323</v>
      </c>
      <c r="E692" s="103"/>
      <c r="F692" s="106">
        <v>65</v>
      </c>
      <c r="G692" s="107"/>
      <c r="H692" s="23">
        <v>1248</v>
      </c>
    </row>
    <row r="693" spans="1:13" ht="17.25" customHeight="1" x14ac:dyDescent="0.2">
      <c r="A693" s="109" t="s">
        <v>1273</v>
      </c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</row>
    <row r="694" spans="1:13" ht="14.25" customHeight="1" x14ac:dyDescent="0.2">
      <c r="A694" s="5"/>
      <c r="B694" s="97" t="s">
        <v>1</v>
      </c>
      <c r="C694" s="98"/>
      <c r="D694" s="99"/>
      <c r="E694" s="100"/>
      <c r="F694" s="99"/>
      <c r="G694" s="100"/>
      <c r="H694" s="101"/>
      <c r="I694" s="101"/>
      <c r="J694" s="101"/>
      <c r="K694" s="101"/>
      <c r="L694" s="101"/>
      <c r="M694" s="101"/>
    </row>
    <row r="695" spans="1:13" ht="5.25" customHeight="1" x14ac:dyDescent="0.2">
      <c r="A695" s="5"/>
      <c r="B695" s="110" t="s">
        <v>1274</v>
      </c>
      <c r="C695" s="111"/>
      <c r="D695" s="110" t="s">
        <v>3</v>
      </c>
      <c r="E695" s="111"/>
      <c r="F695" s="114">
        <v>15</v>
      </c>
      <c r="G695" s="115"/>
      <c r="H695" s="101"/>
      <c r="I695" s="101"/>
      <c r="J695" s="101"/>
      <c r="K695" s="101"/>
      <c r="L695" s="101"/>
      <c r="M695" s="101"/>
    </row>
    <row r="696" spans="1:13" ht="11.45" customHeight="1" x14ac:dyDescent="0.2">
      <c r="A696" s="118" t="s">
        <v>1275</v>
      </c>
      <c r="B696" s="112"/>
      <c r="C696" s="113"/>
      <c r="D696" s="112"/>
      <c r="E696" s="113"/>
      <c r="F696" s="116"/>
      <c r="G696" s="117"/>
      <c r="H696" s="101"/>
      <c r="I696" s="101"/>
      <c r="J696" s="101"/>
      <c r="K696" s="101"/>
      <c r="L696" s="101"/>
      <c r="M696" s="101"/>
    </row>
    <row r="697" spans="1:13" ht="16.5" customHeight="1" x14ac:dyDescent="0.2">
      <c r="A697" s="118"/>
      <c r="B697" s="102" t="s">
        <v>1276</v>
      </c>
      <c r="C697" s="103"/>
      <c r="D697" s="102" t="s">
        <v>6</v>
      </c>
      <c r="E697" s="103"/>
      <c r="F697" s="104">
        <v>131</v>
      </c>
      <c r="G697" s="105"/>
      <c r="H697" s="101"/>
      <c r="I697" s="101"/>
      <c r="J697" s="101"/>
      <c r="K697" s="101"/>
      <c r="L697" s="101"/>
      <c r="M697" s="101"/>
    </row>
    <row r="698" spans="1:13" ht="16.5" customHeight="1" x14ac:dyDescent="0.2">
      <c r="A698" s="118"/>
      <c r="B698" s="102" t="s">
        <v>1277</v>
      </c>
      <c r="C698" s="103"/>
      <c r="D698" s="102" t="s">
        <v>3</v>
      </c>
      <c r="E698" s="103"/>
      <c r="F698" s="104">
        <v>470</v>
      </c>
      <c r="G698" s="105"/>
      <c r="H698" s="101"/>
      <c r="I698" s="101"/>
      <c r="J698" s="101"/>
      <c r="K698" s="101"/>
      <c r="L698" s="101"/>
      <c r="M698" s="101"/>
    </row>
    <row r="699" spans="1:13" ht="16.5" customHeight="1" x14ac:dyDescent="0.2">
      <c r="A699" s="118"/>
      <c r="B699" s="102" t="s">
        <v>1278</v>
      </c>
      <c r="C699" s="103"/>
      <c r="D699" s="102" t="s">
        <v>6</v>
      </c>
      <c r="E699" s="103"/>
      <c r="F699" s="104">
        <v>176</v>
      </c>
      <c r="G699" s="105"/>
      <c r="H699" s="101"/>
      <c r="I699" s="101"/>
      <c r="J699" s="101"/>
      <c r="K699" s="101"/>
      <c r="L699" s="101"/>
      <c r="M699" s="101"/>
    </row>
    <row r="700" spans="1:13" ht="16.5" customHeight="1" x14ac:dyDescent="0.2">
      <c r="A700" s="118"/>
      <c r="B700" s="102" t="s">
        <v>1279</v>
      </c>
      <c r="C700" s="103"/>
      <c r="D700" s="102" t="s">
        <v>6</v>
      </c>
      <c r="E700" s="103"/>
      <c r="F700" s="104">
        <v>195</v>
      </c>
      <c r="G700" s="105"/>
      <c r="H700" s="101"/>
      <c r="I700" s="101"/>
      <c r="J700" s="101"/>
      <c r="K700" s="101"/>
      <c r="L700" s="101"/>
      <c r="M700" s="101"/>
    </row>
    <row r="701" spans="1:13" ht="16.5" customHeight="1" x14ac:dyDescent="0.2">
      <c r="A701" s="118"/>
      <c r="B701" s="102" t="s">
        <v>1280</v>
      </c>
      <c r="C701" s="103"/>
      <c r="D701" s="102" t="s">
        <v>6</v>
      </c>
      <c r="E701" s="103"/>
      <c r="F701" s="104">
        <v>170</v>
      </c>
      <c r="G701" s="105"/>
      <c r="H701" s="101"/>
      <c r="I701" s="101"/>
      <c r="J701" s="101"/>
      <c r="K701" s="101"/>
      <c r="L701" s="101"/>
      <c r="M701" s="101"/>
    </row>
    <row r="702" spans="1:13" ht="16.5" customHeight="1" x14ac:dyDescent="0.2">
      <c r="A702" s="118"/>
      <c r="B702" s="102" t="s">
        <v>1281</v>
      </c>
      <c r="C702" s="103"/>
      <c r="D702" s="102" t="s">
        <v>6</v>
      </c>
      <c r="E702" s="103"/>
      <c r="F702" s="104">
        <v>24</v>
      </c>
      <c r="G702" s="105"/>
      <c r="H702" s="101"/>
      <c r="I702" s="101"/>
      <c r="J702" s="101"/>
      <c r="K702" s="101"/>
      <c r="L702" s="101"/>
      <c r="M702" s="101"/>
    </row>
    <row r="703" spans="1:13" ht="16.5" customHeight="1" x14ac:dyDescent="0.2">
      <c r="A703" s="118"/>
      <c r="B703" s="102" t="s">
        <v>1282</v>
      </c>
      <c r="C703" s="103"/>
      <c r="D703" s="102" t="s">
        <v>6</v>
      </c>
      <c r="E703" s="103"/>
      <c r="F703" s="104">
        <v>66</v>
      </c>
      <c r="G703" s="105"/>
      <c r="H703" s="101"/>
      <c r="I703" s="101"/>
      <c r="J703" s="101"/>
      <c r="K703" s="101"/>
      <c r="L703" s="101"/>
      <c r="M703" s="101"/>
    </row>
    <row r="704" spans="1:13" ht="16.5" customHeight="1" x14ac:dyDescent="0.2">
      <c r="A704" s="118"/>
      <c r="B704" s="102" t="s">
        <v>1283</v>
      </c>
      <c r="C704" s="103"/>
      <c r="D704" s="102" t="s">
        <v>6</v>
      </c>
      <c r="E704" s="103"/>
      <c r="F704" s="104">
        <v>92</v>
      </c>
      <c r="G704" s="105"/>
      <c r="H704" s="101"/>
      <c r="I704" s="101"/>
      <c r="J704" s="101"/>
      <c r="K704" s="101"/>
      <c r="L704" s="101"/>
      <c r="M704" s="101"/>
    </row>
    <row r="705" spans="1:13" ht="16.5" customHeight="1" x14ac:dyDescent="0.2">
      <c r="A705" s="118"/>
      <c r="B705" s="102" t="s">
        <v>1284</v>
      </c>
      <c r="C705" s="103"/>
      <c r="D705" s="102" t="s">
        <v>3</v>
      </c>
      <c r="E705" s="103"/>
      <c r="F705" s="104">
        <v>29</v>
      </c>
      <c r="G705" s="105"/>
      <c r="H705" s="101"/>
      <c r="I705" s="101"/>
      <c r="J705" s="101"/>
      <c r="K705" s="101"/>
      <c r="L705" s="101"/>
      <c r="M705" s="101"/>
    </row>
    <row r="706" spans="1:13" ht="16.5" customHeight="1" x14ac:dyDescent="0.2">
      <c r="A706" s="118"/>
      <c r="B706" s="102" t="s">
        <v>1285</v>
      </c>
      <c r="C706" s="103"/>
      <c r="D706" s="102" t="s">
        <v>37</v>
      </c>
      <c r="E706" s="103"/>
      <c r="F706" s="104">
        <v>67</v>
      </c>
      <c r="G706" s="105"/>
      <c r="H706" s="101"/>
      <c r="I706" s="101"/>
      <c r="J706" s="101"/>
      <c r="K706" s="101"/>
      <c r="L706" s="101"/>
      <c r="M706" s="101"/>
    </row>
    <row r="707" spans="1:13" ht="16.5" customHeight="1" x14ac:dyDescent="0.2">
      <c r="A707" s="118"/>
      <c r="B707" s="102" t="s">
        <v>1286</v>
      </c>
      <c r="C707" s="103"/>
      <c r="D707" s="102" t="s">
        <v>3</v>
      </c>
      <c r="E707" s="103"/>
      <c r="F707" s="104">
        <v>30</v>
      </c>
      <c r="G707" s="105"/>
      <c r="H707" s="101"/>
      <c r="I707" s="101"/>
      <c r="J707" s="101"/>
      <c r="K707" s="101"/>
      <c r="L707" s="101"/>
      <c r="M707" s="101"/>
    </row>
    <row r="708" spans="1:13" ht="16.5" customHeight="1" x14ac:dyDescent="0.2">
      <c r="A708" s="118"/>
      <c r="B708" s="102" t="s">
        <v>1287</v>
      </c>
      <c r="C708" s="103"/>
      <c r="D708" s="102" t="s">
        <v>3</v>
      </c>
      <c r="E708" s="103"/>
      <c r="F708" s="104">
        <v>28.5</v>
      </c>
      <c r="G708" s="105"/>
      <c r="H708" s="101"/>
      <c r="I708" s="101"/>
      <c r="J708" s="101"/>
      <c r="K708" s="101"/>
      <c r="L708" s="101"/>
      <c r="M708" s="101"/>
    </row>
    <row r="709" spans="1:13" ht="16.5" customHeight="1" x14ac:dyDescent="0.2">
      <c r="A709" s="118"/>
      <c r="B709" s="102" t="s">
        <v>1288</v>
      </c>
      <c r="C709" s="103"/>
      <c r="D709" s="102" t="s">
        <v>3</v>
      </c>
      <c r="E709" s="103"/>
      <c r="F709" s="104">
        <v>64</v>
      </c>
      <c r="G709" s="105"/>
      <c r="H709" s="101"/>
      <c r="I709" s="101"/>
      <c r="J709" s="101"/>
      <c r="K709" s="101"/>
      <c r="L709" s="101"/>
      <c r="M709" s="101"/>
    </row>
    <row r="710" spans="1:13" ht="16.5" customHeight="1" x14ac:dyDescent="0.2">
      <c r="A710" s="118"/>
      <c r="B710" s="102" t="s">
        <v>1289</v>
      </c>
      <c r="C710" s="103"/>
      <c r="D710" s="102" t="s">
        <v>6</v>
      </c>
      <c r="E710" s="103"/>
      <c r="F710" s="104">
        <v>25</v>
      </c>
      <c r="G710" s="105"/>
      <c r="H710" s="101"/>
      <c r="I710" s="101"/>
      <c r="J710" s="101"/>
      <c r="K710" s="101"/>
      <c r="L710" s="101"/>
      <c r="M710" s="101"/>
    </row>
    <row r="711" spans="1:13" ht="16.5" customHeight="1" x14ac:dyDescent="0.2">
      <c r="A711" s="118"/>
      <c r="B711" s="102" t="s">
        <v>1290</v>
      </c>
      <c r="C711" s="103"/>
      <c r="D711" s="102" t="s">
        <v>3</v>
      </c>
      <c r="E711" s="103"/>
      <c r="F711" s="104">
        <v>43</v>
      </c>
      <c r="G711" s="105"/>
      <c r="H711" s="101"/>
      <c r="I711" s="101"/>
      <c r="J711" s="101"/>
      <c r="K711" s="101"/>
      <c r="L711" s="101"/>
      <c r="M711" s="101"/>
    </row>
    <row r="712" spans="1:13" ht="16.5" customHeight="1" x14ac:dyDescent="0.2">
      <c r="A712" s="118"/>
      <c r="B712" s="102" t="s">
        <v>1291</v>
      </c>
      <c r="C712" s="103"/>
      <c r="D712" s="102" t="s">
        <v>3</v>
      </c>
      <c r="E712" s="103"/>
      <c r="F712" s="104">
        <v>8.5</v>
      </c>
      <c r="G712" s="105"/>
      <c r="H712" s="101"/>
      <c r="I712" s="101"/>
      <c r="J712" s="101"/>
      <c r="K712" s="101"/>
      <c r="L712" s="101"/>
      <c r="M712" s="101"/>
    </row>
    <row r="713" spans="1:13" ht="16.5" customHeight="1" x14ac:dyDescent="0.2">
      <c r="A713" s="118"/>
      <c r="B713" s="102" t="s">
        <v>1292</v>
      </c>
      <c r="C713" s="103"/>
      <c r="D713" s="102" t="s">
        <v>3</v>
      </c>
      <c r="E713" s="103"/>
      <c r="F713" s="104">
        <v>11.5</v>
      </c>
      <c r="G713" s="105"/>
      <c r="H713" s="101"/>
      <c r="I713" s="101"/>
      <c r="J713" s="101"/>
      <c r="K713" s="101"/>
      <c r="L713" s="101"/>
      <c r="M713" s="101"/>
    </row>
    <row r="714" spans="1:13" ht="16.5" customHeight="1" x14ac:dyDescent="0.2">
      <c r="A714" s="118"/>
      <c r="B714" s="102" t="s">
        <v>1293</v>
      </c>
      <c r="C714" s="103"/>
      <c r="D714" s="102" t="s">
        <v>6</v>
      </c>
      <c r="E714" s="103"/>
      <c r="F714" s="104">
        <v>122</v>
      </c>
      <c r="G714" s="105"/>
      <c r="H714" s="101"/>
      <c r="I714" s="101"/>
      <c r="J714" s="101"/>
      <c r="K714" s="101"/>
      <c r="L714" s="101"/>
      <c r="M714" s="101"/>
    </row>
    <row r="715" spans="1:13" ht="16.5" customHeight="1" x14ac:dyDescent="0.2">
      <c r="A715" s="118"/>
      <c r="B715" s="102" t="s">
        <v>1294</v>
      </c>
      <c r="C715" s="103"/>
      <c r="D715" s="102" t="s">
        <v>3</v>
      </c>
      <c r="E715" s="103"/>
      <c r="F715" s="104">
        <v>42</v>
      </c>
      <c r="G715" s="105"/>
      <c r="H715" s="101"/>
      <c r="I715" s="101"/>
      <c r="J715" s="101"/>
      <c r="K715" s="101"/>
      <c r="L715" s="101"/>
      <c r="M715" s="101"/>
    </row>
    <row r="716" spans="1:13" ht="16.5" customHeight="1" x14ac:dyDescent="0.2">
      <c r="A716" s="118"/>
      <c r="B716" s="102" t="s">
        <v>1295</v>
      </c>
      <c r="C716" s="103"/>
      <c r="D716" s="102" t="s">
        <v>6</v>
      </c>
      <c r="E716" s="103"/>
      <c r="F716" s="104">
        <v>5.8</v>
      </c>
      <c r="G716" s="105"/>
      <c r="H716" s="101"/>
      <c r="I716" s="101"/>
      <c r="J716" s="101"/>
      <c r="K716" s="101"/>
      <c r="L716" s="101"/>
      <c r="M716" s="101"/>
    </row>
    <row r="717" spans="1:13" ht="16.5" customHeight="1" x14ac:dyDescent="0.2">
      <c r="A717" s="118"/>
      <c r="B717" s="102" t="s">
        <v>1296</v>
      </c>
      <c r="C717" s="103"/>
      <c r="D717" s="102" t="s">
        <v>3</v>
      </c>
      <c r="E717" s="103"/>
      <c r="F717" s="104">
        <v>40</v>
      </c>
      <c r="G717" s="105"/>
      <c r="H717" s="101"/>
      <c r="I717" s="101"/>
      <c r="J717" s="101"/>
      <c r="K717" s="101"/>
      <c r="L717" s="101"/>
      <c r="M717" s="101"/>
    </row>
    <row r="718" spans="1:13" ht="16.5" customHeight="1" x14ac:dyDescent="0.2">
      <c r="A718" s="118"/>
      <c r="B718" s="102" t="s">
        <v>1297</v>
      </c>
      <c r="C718" s="103"/>
      <c r="D718" s="102" t="s">
        <v>3</v>
      </c>
      <c r="E718" s="103"/>
      <c r="F718" s="104">
        <v>35</v>
      </c>
      <c r="G718" s="105"/>
      <c r="H718" s="101"/>
      <c r="I718" s="101"/>
      <c r="J718" s="101"/>
      <c r="K718" s="101"/>
      <c r="L718" s="101"/>
      <c r="M718" s="101"/>
    </row>
    <row r="719" spans="1:13" ht="16.5" customHeight="1" x14ac:dyDescent="0.2">
      <c r="A719" s="118"/>
      <c r="B719" s="102" t="s">
        <v>1298</v>
      </c>
      <c r="C719" s="103"/>
      <c r="D719" s="102" t="s">
        <v>6</v>
      </c>
      <c r="E719" s="103"/>
      <c r="F719" s="104">
        <v>100.4</v>
      </c>
      <c r="G719" s="105"/>
      <c r="H719" s="101"/>
      <c r="I719" s="101"/>
      <c r="J719" s="101"/>
      <c r="K719" s="101"/>
      <c r="L719" s="101"/>
      <c r="M719" s="101"/>
    </row>
    <row r="720" spans="1:13" ht="16.5" customHeight="1" x14ac:dyDescent="0.2">
      <c r="A720" s="118"/>
      <c r="B720" s="102" t="s">
        <v>1299</v>
      </c>
      <c r="C720" s="103"/>
      <c r="D720" s="102" t="s">
        <v>3</v>
      </c>
      <c r="E720" s="103"/>
      <c r="F720" s="104">
        <v>66</v>
      </c>
      <c r="G720" s="105"/>
      <c r="H720" s="101"/>
      <c r="I720" s="101"/>
      <c r="J720" s="101"/>
      <c r="K720" s="101"/>
      <c r="L720" s="101"/>
      <c r="M720" s="101"/>
    </row>
    <row r="721" spans="1:13" ht="16.5" customHeight="1" x14ac:dyDescent="0.2">
      <c r="A721" s="118"/>
      <c r="B721" s="102" t="s">
        <v>1300</v>
      </c>
      <c r="C721" s="103"/>
      <c r="D721" s="102" t="s">
        <v>3</v>
      </c>
      <c r="E721" s="103"/>
      <c r="F721" s="104">
        <v>40</v>
      </c>
      <c r="G721" s="105"/>
      <c r="H721" s="101"/>
      <c r="I721" s="101"/>
      <c r="J721" s="101"/>
      <c r="K721" s="101"/>
      <c r="L721" s="101"/>
      <c r="M721" s="101"/>
    </row>
    <row r="722" spans="1:13" ht="16.5" customHeight="1" x14ac:dyDescent="0.2">
      <c r="A722" s="118"/>
      <c r="B722" s="102" t="s">
        <v>1301</v>
      </c>
      <c r="C722" s="103"/>
      <c r="D722" s="102" t="s">
        <v>3</v>
      </c>
      <c r="E722" s="103"/>
      <c r="F722" s="104">
        <v>7.5</v>
      </c>
      <c r="G722" s="105"/>
      <c r="H722" s="101"/>
      <c r="I722" s="101"/>
      <c r="J722" s="101"/>
      <c r="K722" s="101"/>
      <c r="L722" s="101"/>
      <c r="M722" s="101"/>
    </row>
    <row r="723" spans="1:13" ht="16.5" customHeight="1" x14ac:dyDescent="0.2">
      <c r="A723" s="118"/>
      <c r="B723" s="102" t="s">
        <v>1302</v>
      </c>
      <c r="C723" s="103"/>
      <c r="D723" s="102" t="s">
        <v>6</v>
      </c>
      <c r="E723" s="103"/>
      <c r="F723" s="104">
        <v>36</v>
      </c>
      <c r="G723" s="105"/>
      <c r="H723" s="101"/>
      <c r="I723" s="101"/>
      <c r="J723" s="101"/>
      <c r="K723" s="101"/>
      <c r="L723" s="101"/>
      <c r="M723" s="101"/>
    </row>
    <row r="724" spans="1:13" ht="16.5" customHeight="1" x14ac:dyDescent="0.2">
      <c r="A724" s="118"/>
      <c r="B724" s="102" t="s">
        <v>1303</v>
      </c>
      <c r="C724" s="103"/>
      <c r="D724" s="102" t="s">
        <v>12</v>
      </c>
      <c r="E724" s="103"/>
      <c r="F724" s="104">
        <v>20</v>
      </c>
      <c r="G724" s="105"/>
      <c r="H724" s="101"/>
      <c r="I724" s="101"/>
      <c r="J724" s="101"/>
      <c r="K724" s="101"/>
      <c r="L724" s="101"/>
      <c r="M724" s="101"/>
    </row>
    <row r="725" spans="1:13" ht="16.5" customHeight="1" x14ac:dyDescent="0.2">
      <c r="A725" s="118"/>
      <c r="B725" s="102" t="s">
        <v>1304</v>
      </c>
      <c r="C725" s="103"/>
      <c r="D725" s="102" t="s">
        <v>6</v>
      </c>
      <c r="E725" s="103"/>
      <c r="F725" s="104">
        <v>87</v>
      </c>
      <c r="G725" s="105"/>
      <c r="H725" s="101"/>
      <c r="I725" s="101"/>
      <c r="J725" s="101"/>
      <c r="K725" s="101"/>
      <c r="L725" s="101"/>
      <c r="M725" s="101"/>
    </row>
    <row r="726" spans="1:13" ht="16.5" customHeight="1" x14ac:dyDescent="0.2">
      <c r="A726" s="118"/>
      <c r="B726" s="102" t="s">
        <v>1305</v>
      </c>
      <c r="C726" s="103"/>
      <c r="D726" s="102" t="s">
        <v>6</v>
      </c>
      <c r="E726" s="103"/>
      <c r="F726" s="104">
        <v>174</v>
      </c>
      <c r="G726" s="105"/>
      <c r="H726" s="101"/>
      <c r="I726" s="101"/>
      <c r="J726" s="101"/>
      <c r="K726" s="101"/>
      <c r="L726" s="101"/>
      <c r="M726" s="101"/>
    </row>
    <row r="727" spans="1:13" ht="16.5" customHeight="1" x14ac:dyDescent="0.2">
      <c r="A727" s="118"/>
      <c r="B727" s="102" t="s">
        <v>1306</v>
      </c>
      <c r="C727" s="103"/>
      <c r="D727" s="102" t="s">
        <v>6</v>
      </c>
      <c r="E727" s="103"/>
      <c r="F727" s="104">
        <v>30.5</v>
      </c>
      <c r="G727" s="105"/>
      <c r="H727" s="101"/>
      <c r="I727" s="101"/>
      <c r="J727" s="101"/>
      <c r="K727" s="101"/>
      <c r="L727" s="101"/>
      <c r="M727" s="101"/>
    </row>
    <row r="728" spans="1:13" ht="16.5" customHeight="1" x14ac:dyDescent="0.2">
      <c r="A728" s="118"/>
      <c r="B728" s="102" t="s">
        <v>1307</v>
      </c>
      <c r="C728" s="103"/>
      <c r="D728" s="102" t="s">
        <v>6</v>
      </c>
      <c r="E728" s="103"/>
      <c r="F728" s="104">
        <v>37.5</v>
      </c>
      <c r="G728" s="105"/>
      <c r="H728" s="101"/>
      <c r="I728" s="101"/>
      <c r="J728" s="101"/>
      <c r="K728" s="101"/>
      <c r="L728" s="101"/>
      <c r="M728" s="101"/>
    </row>
    <row r="729" spans="1:13" ht="16.5" customHeight="1" x14ac:dyDescent="0.2">
      <c r="A729" s="118"/>
      <c r="B729" s="102" t="s">
        <v>1308</v>
      </c>
      <c r="C729" s="103"/>
      <c r="D729" s="102" t="s">
        <v>3</v>
      </c>
      <c r="E729" s="103"/>
      <c r="F729" s="104">
        <v>42</v>
      </c>
      <c r="G729" s="105"/>
      <c r="H729" s="101"/>
      <c r="I729" s="101"/>
      <c r="J729" s="101"/>
      <c r="K729" s="101"/>
      <c r="L729" s="101"/>
      <c r="M729" s="101"/>
    </row>
    <row r="730" spans="1:13" ht="16.5" customHeight="1" x14ac:dyDescent="0.2">
      <c r="A730" s="118"/>
      <c r="B730" s="102" t="s">
        <v>1309</v>
      </c>
      <c r="C730" s="103"/>
      <c r="D730" s="102" t="s">
        <v>3</v>
      </c>
      <c r="E730" s="103"/>
      <c r="F730" s="104">
        <v>24</v>
      </c>
      <c r="G730" s="105"/>
      <c r="H730" s="101"/>
      <c r="I730" s="101"/>
      <c r="J730" s="101"/>
      <c r="K730" s="101"/>
      <c r="L730" s="101"/>
      <c r="M730" s="101"/>
    </row>
    <row r="731" spans="1:13" ht="16.5" customHeight="1" x14ac:dyDescent="0.2">
      <c r="A731" s="118"/>
      <c r="B731" s="102" t="s">
        <v>1310</v>
      </c>
      <c r="C731" s="103"/>
      <c r="D731" s="102" t="s">
        <v>6</v>
      </c>
      <c r="E731" s="103"/>
      <c r="F731" s="104">
        <v>35</v>
      </c>
      <c r="G731" s="105"/>
      <c r="H731" s="101"/>
      <c r="I731" s="101"/>
      <c r="J731" s="101"/>
      <c r="K731" s="101"/>
      <c r="L731" s="101"/>
      <c r="M731" s="101"/>
    </row>
    <row r="732" spans="1:13" ht="16.5" customHeight="1" x14ac:dyDescent="0.2">
      <c r="A732" s="118"/>
      <c r="B732" s="102" t="s">
        <v>1311</v>
      </c>
      <c r="C732" s="103"/>
      <c r="D732" s="102" t="s">
        <v>6</v>
      </c>
      <c r="E732" s="103"/>
      <c r="F732" s="104">
        <v>32</v>
      </c>
      <c r="G732" s="105"/>
      <c r="H732" s="101"/>
      <c r="I732" s="101"/>
      <c r="J732" s="101"/>
      <c r="K732" s="101"/>
      <c r="L732" s="101"/>
      <c r="M732" s="101"/>
    </row>
    <row r="733" spans="1:13" ht="16.5" customHeight="1" x14ac:dyDescent="0.2">
      <c r="A733" s="118"/>
      <c r="B733" s="102" t="s">
        <v>1312</v>
      </c>
      <c r="C733" s="103"/>
      <c r="D733" s="102" t="s">
        <v>6</v>
      </c>
      <c r="E733" s="103"/>
      <c r="F733" s="104">
        <v>25</v>
      </c>
      <c r="G733" s="105"/>
      <c r="H733" s="101"/>
      <c r="I733" s="101"/>
      <c r="J733" s="101"/>
      <c r="K733" s="101"/>
      <c r="L733" s="101"/>
      <c r="M733" s="101"/>
    </row>
    <row r="734" spans="1:13" ht="14.25" customHeight="1" x14ac:dyDescent="0.2">
      <c r="A734" s="5"/>
      <c r="B734" s="119"/>
      <c r="C734" s="120"/>
      <c r="D734" s="119"/>
      <c r="E734" s="120"/>
      <c r="F734" s="119"/>
      <c r="G734" s="120"/>
      <c r="H734" s="101"/>
      <c r="I734" s="101"/>
      <c r="J734" s="101"/>
      <c r="K734" s="101"/>
      <c r="L734" s="101"/>
      <c r="M734" s="101"/>
    </row>
    <row r="735" spans="1:13" ht="15" customHeight="1" x14ac:dyDescent="0.2">
      <c r="A735" s="5"/>
      <c r="B735" s="119"/>
      <c r="C735" s="120"/>
      <c r="D735" s="119"/>
      <c r="E735" s="120"/>
      <c r="F735" s="119"/>
      <c r="G735" s="120"/>
      <c r="H735" s="101"/>
      <c r="I735" s="101"/>
      <c r="J735" s="101"/>
      <c r="K735" s="101"/>
      <c r="L735" s="101"/>
      <c r="M735" s="101"/>
    </row>
    <row r="736" spans="1:13" ht="14.25" customHeight="1" x14ac:dyDescent="0.2">
      <c r="A736" s="5"/>
      <c r="B736" s="119"/>
      <c r="C736" s="120"/>
      <c r="D736" s="119"/>
      <c r="E736" s="120"/>
      <c r="F736" s="119"/>
      <c r="G736" s="120"/>
      <c r="H736" s="101"/>
      <c r="I736" s="101"/>
      <c r="J736" s="101"/>
      <c r="K736" s="101"/>
      <c r="L736" s="101"/>
      <c r="M736" s="101"/>
    </row>
    <row r="737" spans="1:13" ht="15" customHeight="1" x14ac:dyDescent="0.2">
      <c r="A737" s="5"/>
      <c r="B737" s="119"/>
      <c r="C737" s="120"/>
      <c r="D737" s="119"/>
      <c r="E737" s="120"/>
      <c r="F737" s="119"/>
      <c r="G737" s="120"/>
      <c r="H737" s="101"/>
      <c r="I737" s="101"/>
      <c r="J737" s="101"/>
      <c r="K737" s="101"/>
      <c r="L737" s="101"/>
      <c r="M737" s="101"/>
    </row>
    <row r="738" spans="1:13" ht="14.25" customHeight="1" x14ac:dyDescent="0.2">
      <c r="A738" s="5"/>
      <c r="B738" s="119"/>
      <c r="C738" s="120"/>
      <c r="D738" s="119"/>
      <c r="E738" s="120"/>
      <c r="F738" s="119"/>
      <c r="G738" s="120"/>
      <c r="H738" s="101"/>
      <c r="I738" s="101"/>
      <c r="J738" s="101"/>
      <c r="K738" s="101"/>
      <c r="L738" s="101"/>
      <c r="M738" s="101"/>
    </row>
    <row r="739" spans="1:13" ht="15" customHeight="1" x14ac:dyDescent="0.2">
      <c r="A739" s="5"/>
      <c r="B739" s="119"/>
      <c r="C739" s="120"/>
      <c r="D739" s="119"/>
      <c r="E739" s="120"/>
      <c r="F739" s="119"/>
      <c r="G739" s="120"/>
      <c r="H739" s="101"/>
      <c r="I739" s="101"/>
      <c r="J739" s="101"/>
      <c r="K739" s="101"/>
      <c r="L739" s="101"/>
      <c r="M739" s="101"/>
    </row>
    <row r="740" spans="1:13" ht="14.25" customHeight="1" x14ac:dyDescent="0.2">
      <c r="A740" s="5"/>
      <c r="B740" s="119"/>
      <c r="C740" s="120"/>
      <c r="D740" s="119"/>
      <c r="E740" s="120"/>
      <c r="F740" s="119"/>
      <c r="G740" s="120"/>
      <c r="H740" s="101"/>
      <c r="I740" s="101"/>
      <c r="J740" s="101"/>
      <c r="K740" s="101"/>
      <c r="L740" s="101"/>
      <c r="M740" s="101"/>
    </row>
    <row r="741" spans="1:13" ht="15" customHeight="1" x14ac:dyDescent="0.2">
      <c r="A741" s="5"/>
      <c r="B741" s="119"/>
      <c r="C741" s="120"/>
      <c r="D741" s="119"/>
      <c r="E741" s="120"/>
      <c r="F741" s="119"/>
      <c r="G741" s="120"/>
      <c r="H741" s="101"/>
      <c r="I741" s="101"/>
      <c r="J741" s="101"/>
      <c r="K741" s="101"/>
      <c r="L741" s="101"/>
      <c r="M741" s="101"/>
    </row>
    <row r="742" spans="1:13" ht="14.25" customHeight="1" x14ac:dyDescent="0.2">
      <c r="A742" s="5"/>
      <c r="B742" s="119"/>
      <c r="C742" s="120"/>
      <c r="D742" s="119"/>
      <c r="E742" s="120"/>
      <c r="F742" s="119"/>
      <c r="G742" s="120"/>
      <c r="H742" s="101"/>
      <c r="I742" s="101"/>
      <c r="J742" s="101"/>
      <c r="K742" s="101"/>
      <c r="L742" s="101"/>
      <c r="M742" s="101"/>
    </row>
    <row r="743" spans="1:13" ht="15" customHeight="1" x14ac:dyDescent="0.2">
      <c r="A743" s="5"/>
      <c r="B743" s="119"/>
      <c r="C743" s="120"/>
      <c r="D743" s="119"/>
      <c r="E743" s="120"/>
      <c r="F743" s="119"/>
      <c r="G743" s="120"/>
      <c r="H743" s="101"/>
      <c r="I743" s="101"/>
      <c r="J743" s="101"/>
      <c r="K743" s="101"/>
      <c r="L743" s="101"/>
      <c r="M743" s="101"/>
    </row>
    <row r="744" spans="1:13" ht="14.25" customHeight="1" x14ac:dyDescent="0.2">
      <c r="A744" s="5"/>
      <c r="B744" s="119"/>
      <c r="C744" s="120"/>
      <c r="D744" s="119"/>
      <c r="E744" s="120"/>
      <c r="F744" s="119"/>
      <c r="G744" s="120"/>
      <c r="H744" s="101"/>
      <c r="I744" s="101"/>
      <c r="J744" s="101"/>
      <c r="K744" s="101"/>
      <c r="L744" s="101"/>
      <c r="M744" s="101"/>
    </row>
    <row r="745" spans="1:13" ht="15" customHeight="1" x14ac:dyDescent="0.2">
      <c r="A745" s="5"/>
      <c r="B745" s="119"/>
      <c r="C745" s="120"/>
      <c r="D745" s="119"/>
      <c r="E745" s="120"/>
      <c r="F745" s="119"/>
      <c r="G745" s="120"/>
      <c r="H745" s="101"/>
      <c r="I745" s="101"/>
      <c r="J745" s="101"/>
      <c r="K745" s="101"/>
      <c r="L745" s="101"/>
      <c r="M745" s="101"/>
    </row>
    <row r="746" spans="1:13" ht="14.25" customHeight="1" x14ac:dyDescent="0.2">
      <c r="A746" s="5"/>
      <c r="B746" s="119"/>
      <c r="C746" s="120"/>
      <c r="D746" s="119"/>
      <c r="E746" s="120"/>
      <c r="F746" s="119"/>
      <c r="G746" s="120"/>
      <c r="H746" s="101"/>
      <c r="I746" s="101"/>
      <c r="J746" s="101"/>
      <c r="K746" s="101"/>
      <c r="L746" s="101"/>
      <c r="M746" s="101"/>
    </row>
    <row r="747" spans="1:13" ht="15.2" customHeight="1" x14ac:dyDescent="0.2">
      <c r="A747" s="5"/>
      <c r="B747" s="119"/>
      <c r="C747" s="120"/>
      <c r="D747" s="119"/>
      <c r="E747" s="120"/>
      <c r="F747" s="119"/>
      <c r="G747" s="120"/>
      <c r="H747" s="101"/>
      <c r="I747" s="101"/>
      <c r="J747" s="101"/>
      <c r="K747" s="101"/>
      <c r="L747" s="101"/>
      <c r="M747" s="101"/>
    </row>
  </sheetData>
  <mergeCells count="2391">
    <mergeCell ref="B743:C743"/>
    <mergeCell ref="D743:E743"/>
    <mergeCell ref="F743:G743"/>
    <mergeCell ref="H743:M743"/>
    <mergeCell ref="B744:C744"/>
    <mergeCell ref="D744:E744"/>
    <mergeCell ref="F744:G744"/>
    <mergeCell ref="H744:M744"/>
    <mergeCell ref="B745:C745"/>
    <mergeCell ref="D745:E745"/>
    <mergeCell ref="F745:G745"/>
    <mergeCell ref="H745:M745"/>
    <mergeCell ref="B746:C746"/>
    <mergeCell ref="D746:E746"/>
    <mergeCell ref="F746:G746"/>
    <mergeCell ref="H746:M746"/>
    <mergeCell ref="B747:C747"/>
    <mergeCell ref="D747:E747"/>
    <mergeCell ref="F747:G747"/>
    <mergeCell ref="H747:M747"/>
    <mergeCell ref="B738:C738"/>
    <mergeCell ref="D738:E738"/>
    <mergeCell ref="F738:G738"/>
    <mergeCell ref="H738:M738"/>
    <mergeCell ref="B739:C739"/>
    <mergeCell ref="D739:E739"/>
    <mergeCell ref="F739:G739"/>
    <mergeCell ref="H739:M739"/>
    <mergeCell ref="B740:C740"/>
    <mergeCell ref="D740:E740"/>
    <mergeCell ref="F740:G740"/>
    <mergeCell ref="H740:M740"/>
    <mergeCell ref="B741:C741"/>
    <mergeCell ref="D741:E741"/>
    <mergeCell ref="F741:G741"/>
    <mergeCell ref="H741:M741"/>
    <mergeCell ref="B742:C742"/>
    <mergeCell ref="D742:E742"/>
    <mergeCell ref="F742:G742"/>
    <mergeCell ref="H742:M742"/>
    <mergeCell ref="B733:C733"/>
    <mergeCell ref="D733:E733"/>
    <mergeCell ref="F733:G733"/>
    <mergeCell ref="H733:M733"/>
    <mergeCell ref="B734:C734"/>
    <mergeCell ref="D734:E734"/>
    <mergeCell ref="F734:G734"/>
    <mergeCell ref="H734:M734"/>
    <mergeCell ref="B735:C735"/>
    <mergeCell ref="D735:E735"/>
    <mergeCell ref="F735:G735"/>
    <mergeCell ref="H735:M735"/>
    <mergeCell ref="B736:C736"/>
    <mergeCell ref="D736:E736"/>
    <mergeCell ref="F736:G736"/>
    <mergeCell ref="H736:M736"/>
    <mergeCell ref="B737:C737"/>
    <mergeCell ref="D737:E737"/>
    <mergeCell ref="F737:G737"/>
    <mergeCell ref="H737:M737"/>
    <mergeCell ref="B728:C728"/>
    <mergeCell ref="D728:E728"/>
    <mergeCell ref="F728:G728"/>
    <mergeCell ref="H728:M728"/>
    <mergeCell ref="B729:C729"/>
    <mergeCell ref="D729:E729"/>
    <mergeCell ref="F729:G729"/>
    <mergeCell ref="H729:M729"/>
    <mergeCell ref="B730:C730"/>
    <mergeCell ref="D730:E730"/>
    <mergeCell ref="F730:G730"/>
    <mergeCell ref="H730:M730"/>
    <mergeCell ref="B731:C731"/>
    <mergeCell ref="D731:E731"/>
    <mergeCell ref="F731:G731"/>
    <mergeCell ref="H731:M731"/>
    <mergeCell ref="B732:C732"/>
    <mergeCell ref="D732:E732"/>
    <mergeCell ref="F732:G732"/>
    <mergeCell ref="H732:M732"/>
    <mergeCell ref="B723:C723"/>
    <mergeCell ref="D723:E723"/>
    <mergeCell ref="F723:G723"/>
    <mergeCell ref="H723:M723"/>
    <mergeCell ref="B724:C724"/>
    <mergeCell ref="D724:E724"/>
    <mergeCell ref="F724:G724"/>
    <mergeCell ref="H724:M724"/>
    <mergeCell ref="B725:C725"/>
    <mergeCell ref="D725:E725"/>
    <mergeCell ref="F725:G725"/>
    <mergeCell ref="H725:M725"/>
    <mergeCell ref="B726:C726"/>
    <mergeCell ref="D726:E726"/>
    <mergeCell ref="F726:G726"/>
    <mergeCell ref="H726:M726"/>
    <mergeCell ref="B727:C727"/>
    <mergeCell ref="D727:E727"/>
    <mergeCell ref="F727:G727"/>
    <mergeCell ref="H727:M727"/>
    <mergeCell ref="B718:C718"/>
    <mergeCell ref="D718:E718"/>
    <mergeCell ref="F718:G718"/>
    <mergeCell ref="H718:M718"/>
    <mergeCell ref="B719:C719"/>
    <mergeCell ref="D719:E719"/>
    <mergeCell ref="F719:G719"/>
    <mergeCell ref="H719:M719"/>
    <mergeCell ref="B720:C720"/>
    <mergeCell ref="D720:E720"/>
    <mergeCell ref="F720:G720"/>
    <mergeCell ref="H720:M720"/>
    <mergeCell ref="B721:C721"/>
    <mergeCell ref="D721:E721"/>
    <mergeCell ref="F721:G721"/>
    <mergeCell ref="H721:M721"/>
    <mergeCell ref="B722:C722"/>
    <mergeCell ref="D722:E722"/>
    <mergeCell ref="F722:G722"/>
    <mergeCell ref="H722:M722"/>
    <mergeCell ref="B713:C713"/>
    <mergeCell ref="D713:E713"/>
    <mergeCell ref="F713:G713"/>
    <mergeCell ref="H713:M713"/>
    <mergeCell ref="B714:C714"/>
    <mergeCell ref="D714:E714"/>
    <mergeCell ref="F714:G714"/>
    <mergeCell ref="H714:M714"/>
    <mergeCell ref="B715:C715"/>
    <mergeCell ref="D715:E715"/>
    <mergeCell ref="F715:G715"/>
    <mergeCell ref="H715:M715"/>
    <mergeCell ref="B716:C716"/>
    <mergeCell ref="D716:E716"/>
    <mergeCell ref="F716:G716"/>
    <mergeCell ref="H716:M716"/>
    <mergeCell ref="B717:C717"/>
    <mergeCell ref="D717:E717"/>
    <mergeCell ref="F717:G717"/>
    <mergeCell ref="H717:M717"/>
    <mergeCell ref="B708:C708"/>
    <mergeCell ref="D708:E708"/>
    <mergeCell ref="F708:G708"/>
    <mergeCell ref="H708:M708"/>
    <mergeCell ref="B709:C709"/>
    <mergeCell ref="D709:E709"/>
    <mergeCell ref="F709:G709"/>
    <mergeCell ref="H709:M709"/>
    <mergeCell ref="B710:C710"/>
    <mergeCell ref="D710:E710"/>
    <mergeCell ref="F710:G710"/>
    <mergeCell ref="H710:M710"/>
    <mergeCell ref="B711:C711"/>
    <mergeCell ref="D711:E711"/>
    <mergeCell ref="F711:G711"/>
    <mergeCell ref="H711:M711"/>
    <mergeCell ref="B712:C712"/>
    <mergeCell ref="D712:E712"/>
    <mergeCell ref="F712:G712"/>
    <mergeCell ref="H712:M712"/>
    <mergeCell ref="F703:G703"/>
    <mergeCell ref="H703:M703"/>
    <mergeCell ref="B704:C704"/>
    <mergeCell ref="D704:E704"/>
    <mergeCell ref="F704:G704"/>
    <mergeCell ref="H704:M704"/>
    <mergeCell ref="B705:C705"/>
    <mergeCell ref="D705:E705"/>
    <mergeCell ref="F705:G705"/>
    <mergeCell ref="H705:M705"/>
    <mergeCell ref="B706:C706"/>
    <mergeCell ref="D706:E706"/>
    <mergeCell ref="F706:G706"/>
    <mergeCell ref="H706:M706"/>
    <mergeCell ref="B707:C707"/>
    <mergeCell ref="D707:E707"/>
    <mergeCell ref="F707:G707"/>
    <mergeCell ref="H707:M707"/>
    <mergeCell ref="B695:C696"/>
    <mergeCell ref="D695:E696"/>
    <mergeCell ref="F695:G696"/>
    <mergeCell ref="H695:M695"/>
    <mergeCell ref="A696:A733"/>
    <mergeCell ref="H696:M696"/>
    <mergeCell ref="B697:C697"/>
    <mergeCell ref="D697:E697"/>
    <mergeCell ref="F697:G697"/>
    <mergeCell ref="H697:M697"/>
    <mergeCell ref="B698:C698"/>
    <mergeCell ref="D698:E698"/>
    <mergeCell ref="F698:G698"/>
    <mergeCell ref="H698:M698"/>
    <mergeCell ref="B699:C699"/>
    <mergeCell ref="D699:E699"/>
    <mergeCell ref="F699:G699"/>
    <mergeCell ref="H699:M699"/>
    <mergeCell ref="B700:C700"/>
    <mergeCell ref="D700:E700"/>
    <mergeCell ref="F700:G700"/>
    <mergeCell ref="H700:M700"/>
    <mergeCell ref="B701:C701"/>
    <mergeCell ref="D701:E701"/>
    <mergeCell ref="F701:G701"/>
    <mergeCell ref="H701:M701"/>
    <mergeCell ref="B702:C702"/>
    <mergeCell ref="D702:E702"/>
    <mergeCell ref="F702:G702"/>
    <mergeCell ref="H702:M702"/>
    <mergeCell ref="B703:C703"/>
    <mergeCell ref="D703:E703"/>
    <mergeCell ref="B689:C689"/>
    <mergeCell ref="D689:E689"/>
    <mergeCell ref="F689:G689"/>
    <mergeCell ref="B690:C690"/>
    <mergeCell ref="D690:E690"/>
    <mergeCell ref="F690:G690"/>
    <mergeCell ref="B691:C691"/>
    <mergeCell ref="D691:E691"/>
    <mergeCell ref="F691:G691"/>
    <mergeCell ref="B692:C692"/>
    <mergeCell ref="D692:E692"/>
    <mergeCell ref="F692:G692"/>
    <mergeCell ref="A693:M693"/>
    <mergeCell ref="B694:C694"/>
    <mergeCell ref="D694:E694"/>
    <mergeCell ref="F694:G694"/>
    <mergeCell ref="H694:M694"/>
    <mergeCell ref="B683:C683"/>
    <mergeCell ref="D683:E683"/>
    <mergeCell ref="F683:G683"/>
    <mergeCell ref="B684:C684"/>
    <mergeCell ref="D684:E684"/>
    <mergeCell ref="F684:G684"/>
    <mergeCell ref="B685:C685"/>
    <mergeCell ref="D685:E685"/>
    <mergeCell ref="F685:G685"/>
    <mergeCell ref="B686:C686"/>
    <mergeCell ref="D686:E686"/>
    <mergeCell ref="F686:G686"/>
    <mergeCell ref="B687:C687"/>
    <mergeCell ref="D687:E687"/>
    <mergeCell ref="F687:G687"/>
    <mergeCell ref="B688:C688"/>
    <mergeCell ref="D688:E688"/>
    <mergeCell ref="F688:G688"/>
    <mergeCell ref="B677:C677"/>
    <mergeCell ref="D677:E677"/>
    <mergeCell ref="F677:G677"/>
    <mergeCell ref="B678:C678"/>
    <mergeCell ref="D678:E678"/>
    <mergeCell ref="F678:G678"/>
    <mergeCell ref="B679:C679"/>
    <mergeCell ref="D679:E679"/>
    <mergeCell ref="F679:G679"/>
    <mergeCell ref="B680:C680"/>
    <mergeCell ref="D680:E680"/>
    <mergeCell ref="F680:G680"/>
    <mergeCell ref="B681:C681"/>
    <mergeCell ref="D681:E681"/>
    <mergeCell ref="F681:G681"/>
    <mergeCell ref="B682:C682"/>
    <mergeCell ref="D682:E682"/>
    <mergeCell ref="F682:G682"/>
    <mergeCell ref="B671:C671"/>
    <mergeCell ref="D671:E671"/>
    <mergeCell ref="F671:G671"/>
    <mergeCell ref="B672:C672"/>
    <mergeCell ref="D672:E672"/>
    <mergeCell ref="F672:G672"/>
    <mergeCell ref="B673:C673"/>
    <mergeCell ref="D673:E673"/>
    <mergeCell ref="F673:G673"/>
    <mergeCell ref="B674:C674"/>
    <mergeCell ref="D674:E674"/>
    <mergeCell ref="F674:G674"/>
    <mergeCell ref="B675:C675"/>
    <mergeCell ref="D675:E675"/>
    <mergeCell ref="F675:G675"/>
    <mergeCell ref="B676:C676"/>
    <mergeCell ref="D676:E676"/>
    <mergeCell ref="F676:G676"/>
    <mergeCell ref="B665:C665"/>
    <mergeCell ref="D665:E665"/>
    <mergeCell ref="F665:G665"/>
    <mergeCell ref="B666:C666"/>
    <mergeCell ref="D666:E666"/>
    <mergeCell ref="F666:G666"/>
    <mergeCell ref="B667:C667"/>
    <mergeCell ref="D667:E667"/>
    <mergeCell ref="F667:G667"/>
    <mergeCell ref="B668:C668"/>
    <mergeCell ref="D668:E668"/>
    <mergeCell ref="F668:G668"/>
    <mergeCell ref="B669:C669"/>
    <mergeCell ref="D669:E669"/>
    <mergeCell ref="F669:G669"/>
    <mergeCell ref="B670:C670"/>
    <mergeCell ref="D670:E670"/>
    <mergeCell ref="F670:G670"/>
    <mergeCell ref="B659:C659"/>
    <mergeCell ref="D659:E659"/>
    <mergeCell ref="F659:G659"/>
    <mergeCell ref="B660:C660"/>
    <mergeCell ref="D660:E660"/>
    <mergeCell ref="F660:G660"/>
    <mergeCell ref="B661:C661"/>
    <mergeCell ref="D661:E661"/>
    <mergeCell ref="F661:G661"/>
    <mergeCell ref="B662:C662"/>
    <mergeCell ref="D662:E662"/>
    <mergeCell ref="F662:G662"/>
    <mergeCell ref="B663:C663"/>
    <mergeCell ref="D663:E663"/>
    <mergeCell ref="F663:G663"/>
    <mergeCell ref="B664:C664"/>
    <mergeCell ref="D664:E664"/>
    <mergeCell ref="F664:G664"/>
    <mergeCell ref="B653:C653"/>
    <mergeCell ref="D653:E653"/>
    <mergeCell ref="F653:G653"/>
    <mergeCell ref="B654:C654"/>
    <mergeCell ref="D654:E654"/>
    <mergeCell ref="F654:G654"/>
    <mergeCell ref="B655:C655"/>
    <mergeCell ref="D655:E655"/>
    <mergeCell ref="F655:G655"/>
    <mergeCell ref="B656:C656"/>
    <mergeCell ref="D656:E656"/>
    <mergeCell ref="F656:G656"/>
    <mergeCell ref="B657:C657"/>
    <mergeCell ref="D657:E657"/>
    <mergeCell ref="F657:G657"/>
    <mergeCell ref="B658:C658"/>
    <mergeCell ref="D658:E658"/>
    <mergeCell ref="F658:G658"/>
    <mergeCell ref="B647:C647"/>
    <mergeCell ref="D647:E647"/>
    <mergeCell ref="F647:G647"/>
    <mergeCell ref="B648:C648"/>
    <mergeCell ref="D648:E648"/>
    <mergeCell ref="F648:G648"/>
    <mergeCell ref="B649:C649"/>
    <mergeCell ref="D649:E649"/>
    <mergeCell ref="F649:G649"/>
    <mergeCell ref="B650:C650"/>
    <mergeCell ref="D650:E650"/>
    <mergeCell ref="F650:G650"/>
    <mergeCell ref="B651:C651"/>
    <mergeCell ref="D651:E651"/>
    <mergeCell ref="F651:G651"/>
    <mergeCell ref="B652:C652"/>
    <mergeCell ref="D652:E652"/>
    <mergeCell ref="F652:G652"/>
    <mergeCell ref="B641:C641"/>
    <mergeCell ref="D641:E641"/>
    <mergeCell ref="F641:G641"/>
    <mergeCell ref="B642:C642"/>
    <mergeCell ref="D642:E642"/>
    <mergeCell ref="F642:G642"/>
    <mergeCell ref="B643:C643"/>
    <mergeCell ref="D643:E643"/>
    <mergeCell ref="F643:G643"/>
    <mergeCell ref="B644:C644"/>
    <mergeCell ref="D644:E644"/>
    <mergeCell ref="F644:G644"/>
    <mergeCell ref="B645:C645"/>
    <mergeCell ref="D645:E645"/>
    <mergeCell ref="F645:G645"/>
    <mergeCell ref="B646:C646"/>
    <mergeCell ref="D646:E646"/>
    <mergeCell ref="F646:G646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B640:C640"/>
    <mergeCell ref="D640:E640"/>
    <mergeCell ref="F640:G640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86:L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B581:C581"/>
    <mergeCell ref="D581:E581"/>
    <mergeCell ref="F581:G581"/>
    <mergeCell ref="L581:M581"/>
    <mergeCell ref="B582:C582"/>
    <mergeCell ref="D582:E582"/>
    <mergeCell ref="F582:G582"/>
    <mergeCell ref="L582:M582"/>
    <mergeCell ref="B583:C583"/>
    <mergeCell ref="D583:E583"/>
    <mergeCell ref="F583:G583"/>
    <mergeCell ref="L583:M583"/>
    <mergeCell ref="B584:C584"/>
    <mergeCell ref="D584:E584"/>
    <mergeCell ref="F584:G584"/>
    <mergeCell ref="L584:M584"/>
    <mergeCell ref="B585:C585"/>
    <mergeCell ref="D585:E585"/>
    <mergeCell ref="F585:G585"/>
    <mergeCell ref="L585:M585"/>
    <mergeCell ref="B576:C576"/>
    <mergeCell ref="D576:E576"/>
    <mergeCell ref="F576:G576"/>
    <mergeCell ref="L576:M576"/>
    <mergeCell ref="B577:C577"/>
    <mergeCell ref="D577:E577"/>
    <mergeCell ref="F577:G577"/>
    <mergeCell ref="L577:M577"/>
    <mergeCell ref="B578:C578"/>
    <mergeCell ref="D578:E578"/>
    <mergeCell ref="F578:G578"/>
    <mergeCell ref="L578:M578"/>
    <mergeCell ref="B579:C579"/>
    <mergeCell ref="D579:E579"/>
    <mergeCell ref="F579:G579"/>
    <mergeCell ref="L579:M579"/>
    <mergeCell ref="B580:C580"/>
    <mergeCell ref="D580:E580"/>
    <mergeCell ref="F580:G580"/>
    <mergeCell ref="L580:M580"/>
    <mergeCell ref="B571:C571"/>
    <mergeCell ref="D571:E571"/>
    <mergeCell ref="F571:G571"/>
    <mergeCell ref="L571:M571"/>
    <mergeCell ref="B572:C572"/>
    <mergeCell ref="D572:E572"/>
    <mergeCell ref="F572:G572"/>
    <mergeCell ref="L572:M572"/>
    <mergeCell ref="B573:C573"/>
    <mergeCell ref="D573:E573"/>
    <mergeCell ref="F573:G573"/>
    <mergeCell ref="L573:M573"/>
    <mergeCell ref="B574:C574"/>
    <mergeCell ref="D574:E574"/>
    <mergeCell ref="F574:G574"/>
    <mergeCell ref="L574:M574"/>
    <mergeCell ref="B575:C575"/>
    <mergeCell ref="D575:E575"/>
    <mergeCell ref="F575:G575"/>
    <mergeCell ref="L575:M575"/>
    <mergeCell ref="B566:C566"/>
    <mergeCell ref="D566:E566"/>
    <mergeCell ref="F566:G566"/>
    <mergeCell ref="L566:M566"/>
    <mergeCell ref="B567:C567"/>
    <mergeCell ref="D567:E567"/>
    <mergeCell ref="F567:G567"/>
    <mergeCell ref="L567:M567"/>
    <mergeCell ref="B568:C568"/>
    <mergeCell ref="D568:E568"/>
    <mergeCell ref="F568:G568"/>
    <mergeCell ref="L568:M568"/>
    <mergeCell ref="B569:C569"/>
    <mergeCell ref="D569:E569"/>
    <mergeCell ref="F569:G569"/>
    <mergeCell ref="L569:M569"/>
    <mergeCell ref="B570:C570"/>
    <mergeCell ref="D570:E570"/>
    <mergeCell ref="F570:G570"/>
    <mergeCell ref="L570:M570"/>
    <mergeCell ref="B561:C561"/>
    <mergeCell ref="D561:E561"/>
    <mergeCell ref="F561:G561"/>
    <mergeCell ref="L561:M561"/>
    <mergeCell ref="B562:C562"/>
    <mergeCell ref="D562:E562"/>
    <mergeCell ref="F562:G562"/>
    <mergeCell ref="L562:M562"/>
    <mergeCell ref="B563:C563"/>
    <mergeCell ref="D563:E563"/>
    <mergeCell ref="F563:G563"/>
    <mergeCell ref="L563:M563"/>
    <mergeCell ref="B564:C564"/>
    <mergeCell ref="D564:E564"/>
    <mergeCell ref="F564:G564"/>
    <mergeCell ref="L564:M564"/>
    <mergeCell ref="B565:C565"/>
    <mergeCell ref="D565:E565"/>
    <mergeCell ref="F565:G565"/>
    <mergeCell ref="L565:M565"/>
    <mergeCell ref="B556:C556"/>
    <mergeCell ref="D556:E556"/>
    <mergeCell ref="F556:G556"/>
    <mergeCell ref="L556:M556"/>
    <mergeCell ref="B557:C557"/>
    <mergeCell ref="D557:E557"/>
    <mergeCell ref="F557:G557"/>
    <mergeCell ref="L557:M557"/>
    <mergeCell ref="B558:C558"/>
    <mergeCell ref="D558:E558"/>
    <mergeCell ref="F558:G558"/>
    <mergeCell ref="L558:M558"/>
    <mergeCell ref="B559:C559"/>
    <mergeCell ref="D559:E559"/>
    <mergeCell ref="F559:G559"/>
    <mergeCell ref="L559:M559"/>
    <mergeCell ref="B560:C560"/>
    <mergeCell ref="D560:E560"/>
    <mergeCell ref="F560:G560"/>
    <mergeCell ref="L560:M560"/>
    <mergeCell ref="B551:C551"/>
    <mergeCell ref="D551:E551"/>
    <mergeCell ref="F551:G551"/>
    <mergeCell ref="L551:M551"/>
    <mergeCell ref="B552:C552"/>
    <mergeCell ref="D552:E552"/>
    <mergeCell ref="F552:G552"/>
    <mergeCell ref="L552:M552"/>
    <mergeCell ref="B553:C553"/>
    <mergeCell ref="D553:E553"/>
    <mergeCell ref="F553:G553"/>
    <mergeCell ref="L553:M553"/>
    <mergeCell ref="B554:C554"/>
    <mergeCell ref="D554:E554"/>
    <mergeCell ref="F554:G554"/>
    <mergeCell ref="L554:M554"/>
    <mergeCell ref="B555:C555"/>
    <mergeCell ref="D555:E555"/>
    <mergeCell ref="F555:G555"/>
    <mergeCell ref="L555:M555"/>
    <mergeCell ref="B546:C546"/>
    <mergeCell ref="D546:E546"/>
    <mergeCell ref="F546:G546"/>
    <mergeCell ref="L546:M546"/>
    <mergeCell ref="B547:C547"/>
    <mergeCell ref="D547:E547"/>
    <mergeCell ref="F547:G547"/>
    <mergeCell ref="L547:M547"/>
    <mergeCell ref="B548:C548"/>
    <mergeCell ref="D548:E548"/>
    <mergeCell ref="F548:G548"/>
    <mergeCell ref="L548:M548"/>
    <mergeCell ref="B549:C549"/>
    <mergeCell ref="D549:E549"/>
    <mergeCell ref="F549:G549"/>
    <mergeCell ref="L549:M549"/>
    <mergeCell ref="B550:C550"/>
    <mergeCell ref="D550:E550"/>
    <mergeCell ref="F550:G550"/>
    <mergeCell ref="L550:M550"/>
    <mergeCell ref="B541:C541"/>
    <mergeCell ref="D541:E541"/>
    <mergeCell ref="F541:G541"/>
    <mergeCell ref="L541:M541"/>
    <mergeCell ref="B542:C542"/>
    <mergeCell ref="D542:E542"/>
    <mergeCell ref="F542:G542"/>
    <mergeCell ref="L542:M542"/>
    <mergeCell ref="B543:C543"/>
    <mergeCell ref="D543:E543"/>
    <mergeCell ref="F543:G543"/>
    <mergeCell ref="L543:M543"/>
    <mergeCell ref="B544:C544"/>
    <mergeCell ref="D544:E544"/>
    <mergeCell ref="F544:G544"/>
    <mergeCell ref="L544:M544"/>
    <mergeCell ref="B545:C545"/>
    <mergeCell ref="D545:E545"/>
    <mergeCell ref="F545:G545"/>
    <mergeCell ref="L545:M545"/>
    <mergeCell ref="B536:C536"/>
    <mergeCell ref="D536:E536"/>
    <mergeCell ref="F536:G536"/>
    <mergeCell ref="L536:M536"/>
    <mergeCell ref="B537:C537"/>
    <mergeCell ref="D537:E537"/>
    <mergeCell ref="F537:G537"/>
    <mergeCell ref="L537:M537"/>
    <mergeCell ref="B538:C538"/>
    <mergeCell ref="D538:E538"/>
    <mergeCell ref="F538:G538"/>
    <mergeCell ref="L538:M538"/>
    <mergeCell ref="B539:C539"/>
    <mergeCell ref="D539:E539"/>
    <mergeCell ref="F539:G539"/>
    <mergeCell ref="L539:M539"/>
    <mergeCell ref="B540:C540"/>
    <mergeCell ref="D540:E540"/>
    <mergeCell ref="F540:G540"/>
    <mergeCell ref="L540:M540"/>
    <mergeCell ref="B530:C530"/>
    <mergeCell ref="D530:E530"/>
    <mergeCell ref="F530:G530"/>
    <mergeCell ref="B531:C531"/>
    <mergeCell ref="D531:E531"/>
    <mergeCell ref="F531:G531"/>
    <mergeCell ref="A532:M532"/>
    <mergeCell ref="B533:C533"/>
    <mergeCell ref="D533:E533"/>
    <mergeCell ref="F533:G533"/>
    <mergeCell ref="L533:M533"/>
    <mergeCell ref="B534:C534"/>
    <mergeCell ref="D534:E534"/>
    <mergeCell ref="F534:G534"/>
    <mergeCell ref="L534:M534"/>
    <mergeCell ref="B535:C535"/>
    <mergeCell ref="D535:E535"/>
    <mergeCell ref="F535:G535"/>
    <mergeCell ref="L535:M535"/>
    <mergeCell ref="B524:C524"/>
    <mergeCell ref="D524:E524"/>
    <mergeCell ref="F524:G524"/>
    <mergeCell ref="B525:C525"/>
    <mergeCell ref="D525:E525"/>
    <mergeCell ref="F525:G525"/>
    <mergeCell ref="B526:C526"/>
    <mergeCell ref="D526:E526"/>
    <mergeCell ref="F526:G526"/>
    <mergeCell ref="B527:C527"/>
    <mergeCell ref="D527:E527"/>
    <mergeCell ref="F527:G527"/>
    <mergeCell ref="B528:C528"/>
    <mergeCell ref="D528:E528"/>
    <mergeCell ref="F528:G528"/>
    <mergeCell ref="B529:C529"/>
    <mergeCell ref="D529:E529"/>
    <mergeCell ref="F529:G529"/>
    <mergeCell ref="B518:C518"/>
    <mergeCell ref="D518:E518"/>
    <mergeCell ref="F518:G518"/>
    <mergeCell ref="B519:C519"/>
    <mergeCell ref="D519:E519"/>
    <mergeCell ref="F519:G519"/>
    <mergeCell ref="B520:C520"/>
    <mergeCell ref="D520:E520"/>
    <mergeCell ref="F520:G520"/>
    <mergeCell ref="B521:C521"/>
    <mergeCell ref="D521:E521"/>
    <mergeCell ref="F521:G521"/>
    <mergeCell ref="B522:C522"/>
    <mergeCell ref="D522:E522"/>
    <mergeCell ref="F522:G522"/>
    <mergeCell ref="B523:C523"/>
    <mergeCell ref="D523:E523"/>
    <mergeCell ref="F523:G523"/>
    <mergeCell ref="B512:C512"/>
    <mergeCell ref="D512:E512"/>
    <mergeCell ref="F512:G512"/>
    <mergeCell ref="B513:C513"/>
    <mergeCell ref="D513:E513"/>
    <mergeCell ref="F513:G513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B517:C517"/>
    <mergeCell ref="D517:E517"/>
    <mergeCell ref="F517:G517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B509:C509"/>
    <mergeCell ref="D509:E509"/>
    <mergeCell ref="F509:G509"/>
    <mergeCell ref="B510:C510"/>
    <mergeCell ref="D510:E510"/>
    <mergeCell ref="F510:G510"/>
    <mergeCell ref="B511:C511"/>
    <mergeCell ref="D511:E511"/>
    <mergeCell ref="F511:G511"/>
    <mergeCell ref="B500:C500"/>
    <mergeCell ref="D500:E500"/>
    <mergeCell ref="F500:G500"/>
    <mergeCell ref="B501:C501"/>
    <mergeCell ref="D501:E501"/>
    <mergeCell ref="F501:G501"/>
    <mergeCell ref="B502:C502"/>
    <mergeCell ref="D502:E502"/>
    <mergeCell ref="F502:G502"/>
    <mergeCell ref="B503:C503"/>
    <mergeCell ref="D503:E503"/>
    <mergeCell ref="F503:G503"/>
    <mergeCell ref="B504:C504"/>
    <mergeCell ref="D504:E504"/>
    <mergeCell ref="F504:G504"/>
    <mergeCell ref="B505:C505"/>
    <mergeCell ref="D505:E505"/>
    <mergeCell ref="F505:G505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B497:C497"/>
    <mergeCell ref="D497:E497"/>
    <mergeCell ref="F497:G497"/>
    <mergeCell ref="B498:C498"/>
    <mergeCell ref="D498:E498"/>
    <mergeCell ref="F498:G498"/>
    <mergeCell ref="B499:C499"/>
    <mergeCell ref="D499:E499"/>
    <mergeCell ref="F499:G499"/>
    <mergeCell ref="B488:C488"/>
    <mergeCell ref="D488:E488"/>
    <mergeCell ref="F488:G488"/>
    <mergeCell ref="B489:C489"/>
    <mergeCell ref="D489:E489"/>
    <mergeCell ref="F489:G489"/>
    <mergeCell ref="B490:C490"/>
    <mergeCell ref="D490:E490"/>
    <mergeCell ref="F490:G490"/>
    <mergeCell ref="B491:C491"/>
    <mergeCell ref="D491:E491"/>
    <mergeCell ref="F491:G491"/>
    <mergeCell ref="B492:C492"/>
    <mergeCell ref="D492:E492"/>
    <mergeCell ref="F492:G492"/>
    <mergeCell ref="B493:C493"/>
    <mergeCell ref="D493:E493"/>
    <mergeCell ref="F493:G493"/>
    <mergeCell ref="B482:C482"/>
    <mergeCell ref="D482:E482"/>
    <mergeCell ref="F482:G482"/>
    <mergeCell ref="B483:C483"/>
    <mergeCell ref="D483:E483"/>
    <mergeCell ref="F483:G483"/>
    <mergeCell ref="B484:C484"/>
    <mergeCell ref="D484:E484"/>
    <mergeCell ref="F484:G484"/>
    <mergeCell ref="B485:C485"/>
    <mergeCell ref="D485:E485"/>
    <mergeCell ref="F485:G485"/>
    <mergeCell ref="B486:C486"/>
    <mergeCell ref="D486:E486"/>
    <mergeCell ref="F486:G486"/>
    <mergeCell ref="B487:C487"/>
    <mergeCell ref="D487:E487"/>
    <mergeCell ref="F487:G487"/>
    <mergeCell ref="B476:C476"/>
    <mergeCell ref="D476:E476"/>
    <mergeCell ref="F476:G476"/>
    <mergeCell ref="B477:C477"/>
    <mergeCell ref="D477:E477"/>
    <mergeCell ref="F477:G477"/>
    <mergeCell ref="B478:C478"/>
    <mergeCell ref="D478:E478"/>
    <mergeCell ref="F478:G478"/>
    <mergeCell ref="B479:C479"/>
    <mergeCell ref="D479:E479"/>
    <mergeCell ref="F479:G479"/>
    <mergeCell ref="B480:C480"/>
    <mergeCell ref="D480:E480"/>
    <mergeCell ref="F480:G480"/>
    <mergeCell ref="B481:C481"/>
    <mergeCell ref="D481:E481"/>
    <mergeCell ref="F481:G481"/>
    <mergeCell ref="B470:C470"/>
    <mergeCell ref="D470:E470"/>
    <mergeCell ref="F470:G470"/>
    <mergeCell ref="B471:C471"/>
    <mergeCell ref="D471:E471"/>
    <mergeCell ref="F471:G471"/>
    <mergeCell ref="B472:C472"/>
    <mergeCell ref="D472:E472"/>
    <mergeCell ref="F472:G472"/>
    <mergeCell ref="B473:C473"/>
    <mergeCell ref="D473:E473"/>
    <mergeCell ref="F473:G473"/>
    <mergeCell ref="B474:C474"/>
    <mergeCell ref="D474:E474"/>
    <mergeCell ref="F474:G474"/>
    <mergeCell ref="B475:C475"/>
    <mergeCell ref="D475:E475"/>
    <mergeCell ref="F475:G475"/>
    <mergeCell ref="B464:C464"/>
    <mergeCell ref="D464:E464"/>
    <mergeCell ref="F464:G464"/>
    <mergeCell ref="B465:C465"/>
    <mergeCell ref="D465:E465"/>
    <mergeCell ref="F465:G465"/>
    <mergeCell ref="B466:C466"/>
    <mergeCell ref="D466:E466"/>
    <mergeCell ref="F466:G466"/>
    <mergeCell ref="B467:C467"/>
    <mergeCell ref="D467:E467"/>
    <mergeCell ref="F467:G467"/>
    <mergeCell ref="B468:C468"/>
    <mergeCell ref="D468:E468"/>
    <mergeCell ref="F468:G468"/>
    <mergeCell ref="B469:C469"/>
    <mergeCell ref="D469:E469"/>
    <mergeCell ref="F469:G469"/>
    <mergeCell ref="B458:C458"/>
    <mergeCell ref="D458:E458"/>
    <mergeCell ref="F458:G458"/>
    <mergeCell ref="B459:C459"/>
    <mergeCell ref="D459:E459"/>
    <mergeCell ref="F459:G459"/>
    <mergeCell ref="B460:C460"/>
    <mergeCell ref="D460:E460"/>
    <mergeCell ref="F460:G460"/>
    <mergeCell ref="B461:C461"/>
    <mergeCell ref="D461:E461"/>
    <mergeCell ref="F461:G461"/>
    <mergeCell ref="B462:C462"/>
    <mergeCell ref="D462:E462"/>
    <mergeCell ref="F462:G462"/>
    <mergeCell ref="B463:C463"/>
    <mergeCell ref="D463:E463"/>
    <mergeCell ref="F463:G463"/>
    <mergeCell ref="B452:C452"/>
    <mergeCell ref="D452:E452"/>
    <mergeCell ref="F452:G452"/>
    <mergeCell ref="B453:C453"/>
    <mergeCell ref="D453:E453"/>
    <mergeCell ref="F453:G453"/>
    <mergeCell ref="B454:C454"/>
    <mergeCell ref="D454:E454"/>
    <mergeCell ref="F454:G454"/>
    <mergeCell ref="B455:C455"/>
    <mergeCell ref="D455:E455"/>
    <mergeCell ref="F455:G455"/>
    <mergeCell ref="B456:C456"/>
    <mergeCell ref="D456:E456"/>
    <mergeCell ref="F456:G456"/>
    <mergeCell ref="B457:C457"/>
    <mergeCell ref="D457:E457"/>
    <mergeCell ref="F457:G457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B449:C449"/>
    <mergeCell ref="D449:E449"/>
    <mergeCell ref="F449:G449"/>
    <mergeCell ref="B450:C450"/>
    <mergeCell ref="D450:E450"/>
    <mergeCell ref="F450:G450"/>
    <mergeCell ref="B451:C451"/>
    <mergeCell ref="D451:E451"/>
    <mergeCell ref="F451:G451"/>
    <mergeCell ref="B440:C440"/>
    <mergeCell ref="D440:E440"/>
    <mergeCell ref="F440:G440"/>
    <mergeCell ref="B441:C441"/>
    <mergeCell ref="D441:E441"/>
    <mergeCell ref="F441:G441"/>
    <mergeCell ref="B442:C442"/>
    <mergeCell ref="D442:E442"/>
    <mergeCell ref="F442:G442"/>
    <mergeCell ref="B443:C443"/>
    <mergeCell ref="D443:E443"/>
    <mergeCell ref="F443:G443"/>
    <mergeCell ref="B444:C444"/>
    <mergeCell ref="D444:E444"/>
    <mergeCell ref="F444:G444"/>
    <mergeCell ref="B445:C445"/>
    <mergeCell ref="D445:E445"/>
    <mergeCell ref="F445:G445"/>
    <mergeCell ref="B434:C434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B428:C428"/>
    <mergeCell ref="D428:E428"/>
    <mergeCell ref="F428:G428"/>
    <mergeCell ref="B429:C429"/>
    <mergeCell ref="D429:E429"/>
    <mergeCell ref="F429:G429"/>
    <mergeCell ref="B430:C430"/>
    <mergeCell ref="D430:E430"/>
    <mergeCell ref="F430:G430"/>
    <mergeCell ref="B431:C431"/>
    <mergeCell ref="D431:E431"/>
    <mergeCell ref="F431:G431"/>
    <mergeCell ref="B432:C432"/>
    <mergeCell ref="D432:E432"/>
    <mergeCell ref="F432:G432"/>
    <mergeCell ref="B433:C433"/>
    <mergeCell ref="D433:E433"/>
    <mergeCell ref="F433:G433"/>
    <mergeCell ref="B422:C422"/>
    <mergeCell ref="D422:E422"/>
    <mergeCell ref="F422:G422"/>
    <mergeCell ref="B423:C423"/>
    <mergeCell ref="D423:E423"/>
    <mergeCell ref="F423:G423"/>
    <mergeCell ref="B424:C424"/>
    <mergeCell ref="D424:E424"/>
    <mergeCell ref="F424:G424"/>
    <mergeCell ref="B425:C425"/>
    <mergeCell ref="D425:E425"/>
    <mergeCell ref="F425:G425"/>
    <mergeCell ref="B426:C426"/>
    <mergeCell ref="D426:E426"/>
    <mergeCell ref="F426:G426"/>
    <mergeCell ref="B427:C427"/>
    <mergeCell ref="D427:E427"/>
    <mergeCell ref="F427:G427"/>
    <mergeCell ref="B416:C416"/>
    <mergeCell ref="D416:E416"/>
    <mergeCell ref="F416:G416"/>
    <mergeCell ref="B417:C417"/>
    <mergeCell ref="D417:E417"/>
    <mergeCell ref="F417:G417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10:C410"/>
    <mergeCell ref="D410:E410"/>
    <mergeCell ref="F410:G410"/>
    <mergeCell ref="B411:C411"/>
    <mergeCell ref="D411:E411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04:C404"/>
    <mergeCell ref="D404:E404"/>
    <mergeCell ref="F404:G404"/>
    <mergeCell ref="B405:C405"/>
    <mergeCell ref="D405:E405"/>
    <mergeCell ref="F405:G405"/>
    <mergeCell ref="B406:C406"/>
    <mergeCell ref="D406:E406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398:C398"/>
    <mergeCell ref="D398:E398"/>
    <mergeCell ref="F398:G398"/>
    <mergeCell ref="B399:C399"/>
    <mergeCell ref="D399:E399"/>
    <mergeCell ref="F399:G399"/>
    <mergeCell ref="B400:C400"/>
    <mergeCell ref="D400:E400"/>
    <mergeCell ref="F400:G400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B396:C396"/>
    <mergeCell ref="D396:E396"/>
    <mergeCell ref="F396:G396"/>
    <mergeCell ref="B397:C397"/>
    <mergeCell ref="D397:E397"/>
    <mergeCell ref="F397:G397"/>
    <mergeCell ref="B386:C386"/>
    <mergeCell ref="D386:E386"/>
    <mergeCell ref="F386:G386"/>
    <mergeCell ref="B387:C387"/>
    <mergeCell ref="D387:E387"/>
    <mergeCell ref="F387:G387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91:C391"/>
    <mergeCell ref="D391:E391"/>
    <mergeCell ref="F391:G391"/>
    <mergeCell ref="B380:C380"/>
    <mergeCell ref="D380:E380"/>
    <mergeCell ref="F380:G380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B385:C385"/>
    <mergeCell ref="D385:E385"/>
    <mergeCell ref="F385:G385"/>
    <mergeCell ref="B374:C374"/>
    <mergeCell ref="D374:E374"/>
    <mergeCell ref="F374:G374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B337:C337"/>
    <mergeCell ref="D337:E337"/>
    <mergeCell ref="F337:G337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30:C330"/>
    <mergeCell ref="D330:E330"/>
    <mergeCell ref="F330:G330"/>
    <mergeCell ref="B331:C331"/>
    <mergeCell ref="D331:E331"/>
    <mergeCell ref="F331:G331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08:C308"/>
    <mergeCell ref="D308:E308"/>
    <mergeCell ref="F308:G308"/>
    <mergeCell ref="B309:C309"/>
    <mergeCell ref="D309:E309"/>
    <mergeCell ref="F309:G309"/>
    <mergeCell ref="B310:C310"/>
    <mergeCell ref="D310:E310"/>
    <mergeCell ref="F310:G310"/>
    <mergeCell ref="B311:C311"/>
    <mergeCell ref="D311:E311"/>
    <mergeCell ref="F311:G311"/>
    <mergeCell ref="B312:C312"/>
    <mergeCell ref="D312:E312"/>
    <mergeCell ref="F312:G312"/>
    <mergeCell ref="B313:C313"/>
    <mergeCell ref="D313:E313"/>
    <mergeCell ref="F313:G313"/>
    <mergeCell ref="B302:C302"/>
    <mergeCell ref="D302:E302"/>
    <mergeCell ref="F302:G302"/>
    <mergeCell ref="B303:C303"/>
    <mergeCell ref="D303:E303"/>
    <mergeCell ref="F303:G303"/>
    <mergeCell ref="B304:C304"/>
    <mergeCell ref="D304:E304"/>
    <mergeCell ref="F304:G304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B296:C296"/>
    <mergeCell ref="D296:E296"/>
    <mergeCell ref="F296:G296"/>
    <mergeCell ref="B297:C297"/>
    <mergeCell ref="D297:E297"/>
    <mergeCell ref="F297:G297"/>
    <mergeCell ref="B298:C298"/>
    <mergeCell ref="D298:E298"/>
    <mergeCell ref="F298:G298"/>
    <mergeCell ref="B299:C299"/>
    <mergeCell ref="D299:E299"/>
    <mergeCell ref="F299:G299"/>
    <mergeCell ref="B300:C300"/>
    <mergeCell ref="D300:E300"/>
    <mergeCell ref="F300:G300"/>
    <mergeCell ref="B301:C301"/>
    <mergeCell ref="D301:E301"/>
    <mergeCell ref="F301:G301"/>
    <mergeCell ref="B290:C290"/>
    <mergeCell ref="D290:E290"/>
    <mergeCell ref="F290:G290"/>
    <mergeCell ref="B291:C291"/>
    <mergeCell ref="D291:E291"/>
    <mergeCell ref="F291:G291"/>
    <mergeCell ref="B292:C292"/>
    <mergeCell ref="D292:E292"/>
    <mergeCell ref="F292:G292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B284:C284"/>
    <mergeCell ref="D284:E284"/>
    <mergeCell ref="F284:G284"/>
    <mergeCell ref="B285:C285"/>
    <mergeCell ref="D285:E285"/>
    <mergeCell ref="F285:G285"/>
    <mergeCell ref="B286:C286"/>
    <mergeCell ref="D286:E286"/>
    <mergeCell ref="F286:G286"/>
    <mergeCell ref="B287:C287"/>
    <mergeCell ref="D287:E287"/>
    <mergeCell ref="F287:G287"/>
    <mergeCell ref="B288:C288"/>
    <mergeCell ref="D288:E288"/>
    <mergeCell ref="F288:G288"/>
    <mergeCell ref="B289:C289"/>
    <mergeCell ref="D289:E289"/>
    <mergeCell ref="F289:G289"/>
    <mergeCell ref="B278:C278"/>
    <mergeCell ref="D278:E278"/>
    <mergeCell ref="F278:G278"/>
    <mergeCell ref="B279:C279"/>
    <mergeCell ref="D279:E279"/>
    <mergeCell ref="F279:G279"/>
    <mergeCell ref="B280:C280"/>
    <mergeCell ref="D280:E280"/>
    <mergeCell ref="F280:G280"/>
    <mergeCell ref="B281:C281"/>
    <mergeCell ref="D281:E281"/>
    <mergeCell ref="F281:G281"/>
    <mergeCell ref="B282:C282"/>
    <mergeCell ref="D282:E282"/>
    <mergeCell ref="F282:G282"/>
    <mergeCell ref="B283:C283"/>
    <mergeCell ref="D283:E283"/>
    <mergeCell ref="F283:G283"/>
    <mergeCell ref="B272:C272"/>
    <mergeCell ref="D272:E272"/>
    <mergeCell ref="F272:G272"/>
    <mergeCell ref="B273:C273"/>
    <mergeCell ref="D273:E273"/>
    <mergeCell ref="F273:G273"/>
    <mergeCell ref="B274:C274"/>
    <mergeCell ref="D274:E274"/>
    <mergeCell ref="F274:G274"/>
    <mergeCell ref="B275:C275"/>
    <mergeCell ref="D275:E275"/>
    <mergeCell ref="F275:G275"/>
    <mergeCell ref="B276:C276"/>
    <mergeCell ref="D276:E276"/>
    <mergeCell ref="F276:G276"/>
    <mergeCell ref="B277:C277"/>
    <mergeCell ref="D277:E277"/>
    <mergeCell ref="F277:G277"/>
    <mergeCell ref="B266:C266"/>
    <mergeCell ref="D266:E266"/>
    <mergeCell ref="F266:G266"/>
    <mergeCell ref="B267:C267"/>
    <mergeCell ref="D267:E267"/>
    <mergeCell ref="F267:G267"/>
    <mergeCell ref="B268:C268"/>
    <mergeCell ref="D268:E268"/>
    <mergeCell ref="F268:G268"/>
    <mergeCell ref="B269:C269"/>
    <mergeCell ref="D269:E269"/>
    <mergeCell ref="F269:G269"/>
    <mergeCell ref="B270:C270"/>
    <mergeCell ref="D270:E270"/>
    <mergeCell ref="F270:G270"/>
    <mergeCell ref="B271:C271"/>
    <mergeCell ref="D271:E271"/>
    <mergeCell ref="F271:G271"/>
    <mergeCell ref="B260:C260"/>
    <mergeCell ref="D260:E260"/>
    <mergeCell ref="F260:G260"/>
    <mergeCell ref="B261:C261"/>
    <mergeCell ref="D261:E261"/>
    <mergeCell ref="F261:G261"/>
    <mergeCell ref="B262:C262"/>
    <mergeCell ref="D262:E262"/>
    <mergeCell ref="F262:G262"/>
    <mergeCell ref="B263:C263"/>
    <mergeCell ref="D263:E263"/>
    <mergeCell ref="F263:G263"/>
    <mergeCell ref="B264:C264"/>
    <mergeCell ref="D264:E264"/>
    <mergeCell ref="F264:G264"/>
    <mergeCell ref="B265:C265"/>
    <mergeCell ref="D265:E265"/>
    <mergeCell ref="F265:G265"/>
    <mergeCell ref="B254:C254"/>
    <mergeCell ref="D254:E254"/>
    <mergeCell ref="F254:G254"/>
    <mergeCell ref="B255:C255"/>
    <mergeCell ref="D255:E255"/>
    <mergeCell ref="F255:G255"/>
    <mergeCell ref="B256:C256"/>
    <mergeCell ref="D256:E256"/>
    <mergeCell ref="F256:G256"/>
    <mergeCell ref="B257:C257"/>
    <mergeCell ref="D257:E257"/>
    <mergeCell ref="F257:G257"/>
    <mergeCell ref="B258:C258"/>
    <mergeCell ref="D258:E258"/>
    <mergeCell ref="F258:G258"/>
    <mergeCell ref="B259:C259"/>
    <mergeCell ref="D259:E259"/>
    <mergeCell ref="F259:G259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B251:C251"/>
    <mergeCell ref="D251:E251"/>
    <mergeCell ref="F251:G251"/>
    <mergeCell ref="B252:C252"/>
    <mergeCell ref="D252:E252"/>
    <mergeCell ref="F252:G252"/>
    <mergeCell ref="B253:C253"/>
    <mergeCell ref="D253:E253"/>
    <mergeCell ref="F253:G253"/>
    <mergeCell ref="B242:C242"/>
    <mergeCell ref="D242:E242"/>
    <mergeCell ref="F242:G242"/>
    <mergeCell ref="B243:C243"/>
    <mergeCell ref="D243:E243"/>
    <mergeCell ref="F243:G243"/>
    <mergeCell ref="B244:C244"/>
    <mergeCell ref="D244:E244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B236:C236"/>
    <mergeCell ref="D236:E236"/>
    <mergeCell ref="F236:G236"/>
    <mergeCell ref="B237:C237"/>
    <mergeCell ref="D237:E237"/>
    <mergeCell ref="F237:G237"/>
    <mergeCell ref="B238:C238"/>
    <mergeCell ref="D238:E238"/>
    <mergeCell ref="F238:G238"/>
    <mergeCell ref="B239:C239"/>
    <mergeCell ref="D239:E239"/>
    <mergeCell ref="F239:G239"/>
    <mergeCell ref="B240:C240"/>
    <mergeCell ref="D240:E240"/>
    <mergeCell ref="F240:G240"/>
    <mergeCell ref="B241:C241"/>
    <mergeCell ref="D241:E241"/>
    <mergeCell ref="F241:G241"/>
    <mergeCell ref="B230:C230"/>
    <mergeCell ref="D230:E230"/>
    <mergeCell ref="F230:G230"/>
    <mergeCell ref="B231:C231"/>
    <mergeCell ref="D231:E231"/>
    <mergeCell ref="F231:G231"/>
    <mergeCell ref="B232:C232"/>
    <mergeCell ref="D232:E232"/>
    <mergeCell ref="F232:G232"/>
    <mergeCell ref="B233:C233"/>
    <mergeCell ref="D233:E233"/>
    <mergeCell ref="F233:G233"/>
    <mergeCell ref="B234:C234"/>
    <mergeCell ref="D234:E234"/>
    <mergeCell ref="F234:G234"/>
    <mergeCell ref="B235:C235"/>
    <mergeCell ref="D235:E235"/>
    <mergeCell ref="F235:G235"/>
    <mergeCell ref="B224:C224"/>
    <mergeCell ref="D224:E224"/>
    <mergeCell ref="F224:G224"/>
    <mergeCell ref="B225:C225"/>
    <mergeCell ref="D225:E225"/>
    <mergeCell ref="F225:G225"/>
    <mergeCell ref="B226:C226"/>
    <mergeCell ref="D226:E226"/>
    <mergeCell ref="F226:G226"/>
    <mergeCell ref="B227:C227"/>
    <mergeCell ref="D227:E227"/>
    <mergeCell ref="F227:G227"/>
    <mergeCell ref="B228:C228"/>
    <mergeCell ref="D228:E228"/>
    <mergeCell ref="F228:G228"/>
    <mergeCell ref="B229:C229"/>
    <mergeCell ref="D229:E229"/>
    <mergeCell ref="F229:G229"/>
    <mergeCell ref="B218:C218"/>
    <mergeCell ref="D218:E218"/>
    <mergeCell ref="F218:G218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B222:C222"/>
    <mergeCell ref="D222:E222"/>
    <mergeCell ref="F222:G222"/>
    <mergeCell ref="B223:C223"/>
    <mergeCell ref="D223:E223"/>
    <mergeCell ref="F223:G223"/>
    <mergeCell ref="B212:C212"/>
    <mergeCell ref="D212:E212"/>
    <mergeCell ref="F212:G212"/>
    <mergeCell ref="B213:C213"/>
    <mergeCell ref="D213:E213"/>
    <mergeCell ref="F213:G213"/>
    <mergeCell ref="B214:C214"/>
    <mergeCell ref="D214:E214"/>
    <mergeCell ref="F214:G214"/>
    <mergeCell ref="B215:C215"/>
    <mergeCell ref="D215:E215"/>
    <mergeCell ref="F215:G215"/>
    <mergeCell ref="B216:C216"/>
    <mergeCell ref="D216:E216"/>
    <mergeCell ref="F216:G216"/>
    <mergeCell ref="B217:C217"/>
    <mergeCell ref="D217:E217"/>
    <mergeCell ref="F217:G217"/>
    <mergeCell ref="B206:C206"/>
    <mergeCell ref="D206:E206"/>
    <mergeCell ref="F206:G206"/>
    <mergeCell ref="B207:C207"/>
    <mergeCell ref="D207:E207"/>
    <mergeCell ref="F207:G207"/>
    <mergeCell ref="B208:C208"/>
    <mergeCell ref="D208:E208"/>
    <mergeCell ref="F208:G208"/>
    <mergeCell ref="B209:C209"/>
    <mergeCell ref="D209:E209"/>
    <mergeCell ref="F209:G209"/>
    <mergeCell ref="B210:C210"/>
    <mergeCell ref="D210:E210"/>
    <mergeCell ref="F210:G210"/>
    <mergeCell ref="B211:C211"/>
    <mergeCell ref="D211:E211"/>
    <mergeCell ref="F211:G211"/>
    <mergeCell ref="B200:C200"/>
    <mergeCell ref="D200:E200"/>
    <mergeCell ref="F200:G200"/>
    <mergeCell ref="B201:C201"/>
    <mergeCell ref="D201:E201"/>
    <mergeCell ref="F201:G201"/>
    <mergeCell ref="B202:C202"/>
    <mergeCell ref="D202:E202"/>
    <mergeCell ref="F202:G202"/>
    <mergeCell ref="B203:C203"/>
    <mergeCell ref="D203:E203"/>
    <mergeCell ref="F203:G203"/>
    <mergeCell ref="B204:C204"/>
    <mergeCell ref="D204:E204"/>
    <mergeCell ref="F204:G204"/>
    <mergeCell ref="B205:C205"/>
    <mergeCell ref="D205:E205"/>
    <mergeCell ref="F205:G205"/>
    <mergeCell ref="B194:C194"/>
    <mergeCell ref="D194:E194"/>
    <mergeCell ref="F194:G194"/>
    <mergeCell ref="B195:C195"/>
    <mergeCell ref="D195:E195"/>
    <mergeCell ref="F195:G195"/>
    <mergeCell ref="B196:C196"/>
    <mergeCell ref="D196:E196"/>
    <mergeCell ref="F196:G196"/>
    <mergeCell ref="B197:C197"/>
    <mergeCell ref="D197:E197"/>
    <mergeCell ref="F197:G197"/>
    <mergeCell ref="B198:C198"/>
    <mergeCell ref="D198:E198"/>
    <mergeCell ref="F198:G198"/>
    <mergeCell ref="B199:C199"/>
    <mergeCell ref="D199:E199"/>
    <mergeCell ref="F199:G199"/>
    <mergeCell ref="B188:C188"/>
    <mergeCell ref="D188:E188"/>
    <mergeCell ref="F188:G188"/>
    <mergeCell ref="B189:C189"/>
    <mergeCell ref="D189:E189"/>
    <mergeCell ref="F189:G189"/>
    <mergeCell ref="B190:C190"/>
    <mergeCell ref="D190:E190"/>
    <mergeCell ref="F190:G190"/>
    <mergeCell ref="B191:C191"/>
    <mergeCell ref="D191:E191"/>
    <mergeCell ref="F191:G191"/>
    <mergeCell ref="B192:C192"/>
    <mergeCell ref="D192:E192"/>
    <mergeCell ref="F192:G192"/>
    <mergeCell ref="B193:C193"/>
    <mergeCell ref="D193:E193"/>
    <mergeCell ref="F193:G193"/>
    <mergeCell ref="B182:C182"/>
    <mergeCell ref="D182:E182"/>
    <mergeCell ref="F182:G182"/>
    <mergeCell ref="B183:C183"/>
    <mergeCell ref="D183:E183"/>
    <mergeCell ref="F183:G183"/>
    <mergeCell ref="B184:C184"/>
    <mergeCell ref="D184:E184"/>
    <mergeCell ref="F184:G184"/>
    <mergeCell ref="B185:C185"/>
    <mergeCell ref="D185:E185"/>
    <mergeCell ref="F185:G185"/>
    <mergeCell ref="B186:C186"/>
    <mergeCell ref="D186:E186"/>
    <mergeCell ref="F186:G186"/>
    <mergeCell ref="B187:C187"/>
    <mergeCell ref="D187:E187"/>
    <mergeCell ref="F187:G187"/>
    <mergeCell ref="B176:C176"/>
    <mergeCell ref="D176:E176"/>
    <mergeCell ref="F176:G176"/>
    <mergeCell ref="B177:C177"/>
    <mergeCell ref="D177:E177"/>
    <mergeCell ref="F177:G177"/>
    <mergeCell ref="B178:C178"/>
    <mergeCell ref="D178:E178"/>
    <mergeCell ref="F178:G178"/>
    <mergeCell ref="B179:C179"/>
    <mergeCell ref="D179:E179"/>
    <mergeCell ref="F179:G179"/>
    <mergeCell ref="B180:C180"/>
    <mergeCell ref="D180:E180"/>
    <mergeCell ref="F180:G180"/>
    <mergeCell ref="B181:C181"/>
    <mergeCell ref="D181:E181"/>
    <mergeCell ref="F181:G181"/>
    <mergeCell ref="B170:C170"/>
    <mergeCell ref="D170:E170"/>
    <mergeCell ref="F170:G170"/>
    <mergeCell ref="B171:C171"/>
    <mergeCell ref="D171:E171"/>
    <mergeCell ref="F171:G171"/>
    <mergeCell ref="B172:C172"/>
    <mergeCell ref="D172:E172"/>
    <mergeCell ref="F172:G172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B164:C164"/>
    <mergeCell ref="D164:E164"/>
    <mergeCell ref="F164:G164"/>
    <mergeCell ref="B165:C165"/>
    <mergeCell ref="D165:E165"/>
    <mergeCell ref="F165:G165"/>
    <mergeCell ref="B166:C166"/>
    <mergeCell ref="D166:E166"/>
    <mergeCell ref="F166:G166"/>
    <mergeCell ref="B167:C167"/>
    <mergeCell ref="D167:E167"/>
    <mergeCell ref="F167:G167"/>
    <mergeCell ref="B168:C168"/>
    <mergeCell ref="D168:E168"/>
    <mergeCell ref="F168:G168"/>
    <mergeCell ref="B169:C169"/>
    <mergeCell ref="D169:E169"/>
    <mergeCell ref="F169:G169"/>
    <mergeCell ref="B158:C158"/>
    <mergeCell ref="D158:E158"/>
    <mergeCell ref="F158:G158"/>
    <mergeCell ref="B159:C159"/>
    <mergeCell ref="D159:E159"/>
    <mergeCell ref="F159:G159"/>
    <mergeCell ref="B160:C160"/>
    <mergeCell ref="D160:E160"/>
    <mergeCell ref="F160:G160"/>
    <mergeCell ref="B161:C161"/>
    <mergeCell ref="D161:E161"/>
    <mergeCell ref="F161:G161"/>
    <mergeCell ref="B162:C162"/>
    <mergeCell ref="D162:E162"/>
    <mergeCell ref="F162:G162"/>
    <mergeCell ref="B163:C163"/>
    <mergeCell ref="D163:E163"/>
    <mergeCell ref="F163:G163"/>
    <mergeCell ref="B152:C152"/>
    <mergeCell ref="D152:E152"/>
    <mergeCell ref="F152:G152"/>
    <mergeCell ref="B153:C153"/>
    <mergeCell ref="D153:E153"/>
    <mergeCell ref="F153:G153"/>
    <mergeCell ref="B154:C154"/>
    <mergeCell ref="D154:E154"/>
    <mergeCell ref="F154:G154"/>
    <mergeCell ref="B155:C155"/>
    <mergeCell ref="D155:E155"/>
    <mergeCell ref="F155:G155"/>
    <mergeCell ref="B156:C156"/>
    <mergeCell ref="D156:E156"/>
    <mergeCell ref="F156:G156"/>
    <mergeCell ref="B157:C157"/>
    <mergeCell ref="D157:E157"/>
    <mergeCell ref="F157:G157"/>
    <mergeCell ref="B146:C146"/>
    <mergeCell ref="D146:E146"/>
    <mergeCell ref="F146:G146"/>
    <mergeCell ref="B147:C147"/>
    <mergeCell ref="D147:E147"/>
    <mergeCell ref="F147:G147"/>
    <mergeCell ref="B148:C148"/>
    <mergeCell ref="D148:E148"/>
    <mergeCell ref="F148:G148"/>
    <mergeCell ref="B149:C149"/>
    <mergeCell ref="D149:E149"/>
    <mergeCell ref="F149:G149"/>
    <mergeCell ref="B150:C150"/>
    <mergeCell ref="D150:E150"/>
    <mergeCell ref="F150:G150"/>
    <mergeCell ref="B151:C151"/>
    <mergeCell ref="D151:E151"/>
    <mergeCell ref="F151:G151"/>
    <mergeCell ref="B140:C140"/>
    <mergeCell ref="D140:E140"/>
    <mergeCell ref="F140:G140"/>
    <mergeCell ref="B141:C141"/>
    <mergeCell ref="D141:E141"/>
    <mergeCell ref="F141:G141"/>
    <mergeCell ref="B142:C142"/>
    <mergeCell ref="D142:E142"/>
    <mergeCell ref="F142:G142"/>
    <mergeCell ref="B143:C143"/>
    <mergeCell ref="D143:E143"/>
    <mergeCell ref="F143:G143"/>
    <mergeCell ref="B144:C144"/>
    <mergeCell ref="D144:E144"/>
    <mergeCell ref="F144:G144"/>
    <mergeCell ref="B145:C145"/>
    <mergeCell ref="D145:E145"/>
    <mergeCell ref="F145:G145"/>
    <mergeCell ref="B134:C134"/>
    <mergeCell ref="D134:E134"/>
    <mergeCell ref="F134:G134"/>
    <mergeCell ref="B135:C135"/>
    <mergeCell ref="D135:E135"/>
    <mergeCell ref="F135:G135"/>
    <mergeCell ref="B136:C136"/>
    <mergeCell ref="D136:E136"/>
    <mergeCell ref="F136:G136"/>
    <mergeCell ref="B137:C137"/>
    <mergeCell ref="D137:E137"/>
    <mergeCell ref="F137:G137"/>
    <mergeCell ref="B138:C138"/>
    <mergeCell ref="D138:E138"/>
    <mergeCell ref="F138:G138"/>
    <mergeCell ref="B139:C139"/>
    <mergeCell ref="D139:E139"/>
    <mergeCell ref="F139:G139"/>
    <mergeCell ref="B128:C128"/>
    <mergeCell ref="D128:E128"/>
    <mergeCell ref="F128:G128"/>
    <mergeCell ref="B129:C129"/>
    <mergeCell ref="D129:E129"/>
    <mergeCell ref="F129:G129"/>
    <mergeCell ref="B130:C130"/>
    <mergeCell ref="D130:E130"/>
    <mergeCell ref="F130:G130"/>
    <mergeCell ref="B131:C131"/>
    <mergeCell ref="D131:E131"/>
    <mergeCell ref="F131:G131"/>
    <mergeCell ref="B132:C132"/>
    <mergeCell ref="D132:E132"/>
    <mergeCell ref="F132:G132"/>
    <mergeCell ref="B133:C133"/>
    <mergeCell ref="D133:E133"/>
    <mergeCell ref="F133:G133"/>
    <mergeCell ref="B122:C122"/>
    <mergeCell ref="D122:E122"/>
    <mergeCell ref="F122:G122"/>
    <mergeCell ref="B123:C123"/>
    <mergeCell ref="D123:E123"/>
    <mergeCell ref="F123:G123"/>
    <mergeCell ref="B124:C124"/>
    <mergeCell ref="D124:E124"/>
    <mergeCell ref="F124:G124"/>
    <mergeCell ref="B125:C125"/>
    <mergeCell ref="D125:E125"/>
    <mergeCell ref="F125:G125"/>
    <mergeCell ref="B126:C126"/>
    <mergeCell ref="D126:E126"/>
    <mergeCell ref="F126:G126"/>
    <mergeCell ref="B127:C127"/>
    <mergeCell ref="D127:E127"/>
    <mergeCell ref="F127:G127"/>
    <mergeCell ref="B116:C116"/>
    <mergeCell ref="D116:E116"/>
    <mergeCell ref="F116:G116"/>
    <mergeCell ref="B117:C117"/>
    <mergeCell ref="D117:E117"/>
    <mergeCell ref="F117:G117"/>
    <mergeCell ref="B118:C118"/>
    <mergeCell ref="D118:E118"/>
    <mergeCell ref="F118:G118"/>
    <mergeCell ref="B119:C119"/>
    <mergeCell ref="D119:E119"/>
    <mergeCell ref="F119:G119"/>
    <mergeCell ref="B120:C120"/>
    <mergeCell ref="D120:E120"/>
    <mergeCell ref="F120:G120"/>
    <mergeCell ref="B121:C121"/>
    <mergeCell ref="D121:E121"/>
    <mergeCell ref="F121:G121"/>
    <mergeCell ref="B110:C110"/>
    <mergeCell ref="D110:E110"/>
    <mergeCell ref="F110:G110"/>
    <mergeCell ref="B111:C111"/>
    <mergeCell ref="D111:E111"/>
    <mergeCell ref="F111:G111"/>
    <mergeCell ref="B112:C112"/>
    <mergeCell ref="D112:E112"/>
    <mergeCell ref="F112:G112"/>
    <mergeCell ref="B113:C113"/>
    <mergeCell ref="D113:E113"/>
    <mergeCell ref="F113:G113"/>
    <mergeCell ref="B114:C114"/>
    <mergeCell ref="D114:E114"/>
    <mergeCell ref="F114:G114"/>
    <mergeCell ref="B115:C115"/>
    <mergeCell ref="D115:E115"/>
    <mergeCell ref="F115:G115"/>
    <mergeCell ref="B104:C104"/>
    <mergeCell ref="D104:E104"/>
    <mergeCell ref="F104:G104"/>
    <mergeCell ref="B105:C105"/>
    <mergeCell ref="D105:E105"/>
    <mergeCell ref="F105:G105"/>
    <mergeCell ref="B106:C106"/>
    <mergeCell ref="D106:E106"/>
    <mergeCell ref="F106:G106"/>
    <mergeCell ref="B107:C107"/>
    <mergeCell ref="D107:E107"/>
    <mergeCell ref="F107:G107"/>
    <mergeCell ref="B108:C108"/>
    <mergeCell ref="D108:E108"/>
    <mergeCell ref="F108:G108"/>
    <mergeCell ref="B109:C109"/>
    <mergeCell ref="D109:E109"/>
    <mergeCell ref="F109:G109"/>
    <mergeCell ref="B98:C98"/>
    <mergeCell ref="D98:E98"/>
    <mergeCell ref="F98:G98"/>
    <mergeCell ref="B99:C99"/>
    <mergeCell ref="D99:E99"/>
    <mergeCell ref="F99:G99"/>
    <mergeCell ref="B100:C100"/>
    <mergeCell ref="D100:E100"/>
    <mergeCell ref="F100:G100"/>
    <mergeCell ref="B101:C101"/>
    <mergeCell ref="D101:E101"/>
    <mergeCell ref="F101:G101"/>
    <mergeCell ref="B102:C102"/>
    <mergeCell ref="D102:E102"/>
    <mergeCell ref="F102:G102"/>
    <mergeCell ref="B103:C103"/>
    <mergeCell ref="D103:E103"/>
    <mergeCell ref="F103:G103"/>
    <mergeCell ref="B92:C92"/>
    <mergeCell ref="D92:E92"/>
    <mergeCell ref="F92:G92"/>
    <mergeCell ref="B93:C93"/>
    <mergeCell ref="D93:E93"/>
    <mergeCell ref="F93:G93"/>
    <mergeCell ref="B94:C94"/>
    <mergeCell ref="D94:E94"/>
    <mergeCell ref="F94:G94"/>
    <mergeCell ref="B95:C95"/>
    <mergeCell ref="D95:E95"/>
    <mergeCell ref="F95:G95"/>
    <mergeCell ref="B96:C96"/>
    <mergeCell ref="D96:E96"/>
    <mergeCell ref="F96:G96"/>
    <mergeCell ref="B97:C97"/>
    <mergeCell ref="D97:E97"/>
    <mergeCell ref="F97:G97"/>
    <mergeCell ref="B86:C86"/>
    <mergeCell ref="D86:E86"/>
    <mergeCell ref="F86:G86"/>
    <mergeCell ref="B87:C87"/>
    <mergeCell ref="D87:E87"/>
    <mergeCell ref="F87:G87"/>
    <mergeCell ref="B88:C88"/>
    <mergeCell ref="D88:E88"/>
    <mergeCell ref="F88:G88"/>
    <mergeCell ref="B89:C89"/>
    <mergeCell ref="D89:E89"/>
    <mergeCell ref="F89:G89"/>
    <mergeCell ref="B90:C90"/>
    <mergeCell ref="D90:E90"/>
    <mergeCell ref="F90:G90"/>
    <mergeCell ref="B91:C91"/>
    <mergeCell ref="D91:E91"/>
    <mergeCell ref="F91:G91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B85:C85"/>
    <mergeCell ref="D85:E85"/>
    <mergeCell ref="F85:G85"/>
    <mergeCell ref="B74:C74"/>
    <mergeCell ref="D74:E74"/>
    <mergeCell ref="F74:G74"/>
    <mergeCell ref="B75:C75"/>
    <mergeCell ref="D75:E75"/>
    <mergeCell ref="F75:G75"/>
    <mergeCell ref="B76:C76"/>
    <mergeCell ref="D76:E76"/>
    <mergeCell ref="F76:G76"/>
    <mergeCell ref="B77:C77"/>
    <mergeCell ref="D77:E77"/>
    <mergeCell ref="F77:G77"/>
    <mergeCell ref="B78:C78"/>
    <mergeCell ref="D78:E78"/>
    <mergeCell ref="F78:G78"/>
    <mergeCell ref="B79:C79"/>
    <mergeCell ref="D79:E79"/>
    <mergeCell ref="F79:G79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B73:C73"/>
    <mergeCell ref="D73:E73"/>
    <mergeCell ref="F73:G73"/>
    <mergeCell ref="B62:C62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56:C56"/>
    <mergeCell ref="D56:E56"/>
    <mergeCell ref="F56:G56"/>
    <mergeCell ref="B57:C57"/>
    <mergeCell ref="D57:E57"/>
    <mergeCell ref="F57:G57"/>
    <mergeCell ref="B58:C58"/>
    <mergeCell ref="D58:E58"/>
    <mergeCell ref="F58:G58"/>
    <mergeCell ref="B59:C59"/>
    <mergeCell ref="D59:E59"/>
    <mergeCell ref="F59:G59"/>
    <mergeCell ref="B60:C60"/>
    <mergeCell ref="D60:E60"/>
    <mergeCell ref="F60:G60"/>
    <mergeCell ref="B61:C61"/>
    <mergeCell ref="D61:E61"/>
    <mergeCell ref="F61:G61"/>
    <mergeCell ref="B51:C51"/>
    <mergeCell ref="D51:E51"/>
    <mergeCell ref="F51:G51"/>
    <mergeCell ref="L51:M51"/>
    <mergeCell ref="B52:C52"/>
    <mergeCell ref="D52:E52"/>
    <mergeCell ref="F52:G52"/>
    <mergeCell ref="L52:M52"/>
    <mergeCell ref="B53:C53"/>
    <mergeCell ref="D53:E53"/>
    <mergeCell ref="F53:G53"/>
    <mergeCell ref="L53:M53"/>
    <mergeCell ref="B54:C54"/>
    <mergeCell ref="D54:E54"/>
    <mergeCell ref="F54:G54"/>
    <mergeCell ref="L54:M54"/>
    <mergeCell ref="B55:C55"/>
    <mergeCell ref="D55:E55"/>
    <mergeCell ref="F55:G55"/>
    <mergeCell ref="B46:C46"/>
    <mergeCell ref="D46:E46"/>
    <mergeCell ref="F46:G46"/>
    <mergeCell ref="L46:M46"/>
    <mergeCell ref="B47:C47"/>
    <mergeCell ref="D47:E47"/>
    <mergeCell ref="F47:G47"/>
    <mergeCell ref="L47:M47"/>
    <mergeCell ref="B48:C48"/>
    <mergeCell ref="D48:E48"/>
    <mergeCell ref="F48:G48"/>
    <mergeCell ref="L48:M48"/>
    <mergeCell ref="B49:C49"/>
    <mergeCell ref="D49:E49"/>
    <mergeCell ref="F49:G49"/>
    <mergeCell ref="L49:M49"/>
    <mergeCell ref="B50:C50"/>
    <mergeCell ref="D50:E50"/>
    <mergeCell ref="F50:G50"/>
    <mergeCell ref="L50:M50"/>
    <mergeCell ref="B41:C41"/>
    <mergeCell ref="D41:E41"/>
    <mergeCell ref="F41:G41"/>
    <mergeCell ref="L41:M41"/>
    <mergeCell ref="B42:C42"/>
    <mergeCell ref="D42:E42"/>
    <mergeCell ref="F42:G42"/>
    <mergeCell ref="L42:M42"/>
    <mergeCell ref="B43:C43"/>
    <mergeCell ref="D43:E43"/>
    <mergeCell ref="F43:G43"/>
    <mergeCell ref="L43:M43"/>
    <mergeCell ref="B44:C44"/>
    <mergeCell ref="D44:E44"/>
    <mergeCell ref="F44:G44"/>
    <mergeCell ref="L44:M44"/>
    <mergeCell ref="B45:C45"/>
    <mergeCell ref="D45:E45"/>
    <mergeCell ref="F45:G45"/>
    <mergeCell ref="L45:M45"/>
    <mergeCell ref="B36:C36"/>
    <mergeCell ref="D36:E36"/>
    <mergeCell ref="F36:G36"/>
    <mergeCell ref="L36:M36"/>
    <mergeCell ref="B37:C37"/>
    <mergeCell ref="D37:E37"/>
    <mergeCell ref="F37:G37"/>
    <mergeCell ref="L37:M37"/>
    <mergeCell ref="B38:C38"/>
    <mergeCell ref="D38:E38"/>
    <mergeCell ref="F38:G38"/>
    <mergeCell ref="L38:M38"/>
    <mergeCell ref="B39:C39"/>
    <mergeCell ref="D39:E39"/>
    <mergeCell ref="F39:G39"/>
    <mergeCell ref="L39:M39"/>
    <mergeCell ref="B40:C40"/>
    <mergeCell ref="D40:E40"/>
    <mergeCell ref="F40:G40"/>
    <mergeCell ref="L40:M40"/>
    <mergeCell ref="B31:C31"/>
    <mergeCell ref="D31:E31"/>
    <mergeCell ref="F31:G31"/>
    <mergeCell ref="L31:M31"/>
    <mergeCell ref="B32:C32"/>
    <mergeCell ref="D32:E32"/>
    <mergeCell ref="F32:G32"/>
    <mergeCell ref="L32:M32"/>
    <mergeCell ref="B33:C33"/>
    <mergeCell ref="D33:E33"/>
    <mergeCell ref="F33:G33"/>
    <mergeCell ref="L33:M33"/>
    <mergeCell ref="B34:C34"/>
    <mergeCell ref="D34:E34"/>
    <mergeCell ref="F34:G34"/>
    <mergeCell ref="L34:M34"/>
    <mergeCell ref="B35:C35"/>
    <mergeCell ref="D35:E35"/>
    <mergeCell ref="F35:G35"/>
    <mergeCell ref="L35:M35"/>
    <mergeCell ref="B26:C26"/>
    <mergeCell ref="D26:E26"/>
    <mergeCell ref="F26:G26"/>
    <mergeCell ref="L26:M26"/>
    <mergeCell ref="B27:C27"/>
    <mergeCell ref="D27:E27"/>
    <mergeCell ref="F27:G27"/>
    <mergeCell ref="L27:M27"/>
    <mergeCell ref="B28:C28"/>
    <mergeCell ref="D28:E28"/>
    <mergeCell ref="F28:G28"/>
    <mergeCell ref="L28:M28"/>
    <mergeCell ref="B29:C29"/>
    <mergeCell ref="D29:E29"/>
    <mergeCell ref="F29:G29"/>
    <mergeCell ref="L29:M29"/>
    <mergeCell ref="B30:C30"/>
    <mergeCell ref="D30:E30"/>
    <mergeCell ref="F30:G30"/>
    <mergeCell ref="L30:M30"/>
    <mergeCell ref="B21:C21"/>
    <mergeCell ref="D21:E21"/>
    <mergeCell ref="F21:G21"/>
    <mergeCell ref="L21:M21"/>
    <mergeCell ref="B22:C22"/>
    <mergeCell ref="D22:E22"/>
    <mergeCell ref="F22:G22"/>
    <mergeCell ref="L22:M22"/>
    <mergeCell ref="B23:C23"/>
    <mergeCell ref="D23:E23"/>
    <mergeCell ref="F23:G23"/>
    <mergeCell ref="L23:M23"/>
    <mergeCell ref="B24:C24"/>
    <mergeCell ref="D24:E24"/>
    <mergeCell ref="F24:G24"/>
    <mergeCell ref="L24:M24"/>
    <mergeCell ref="B25:C25"/>
    <mergeCell ref="D25:E25"/>
    <mergeCell ref="F25:G25"/>
    <mergeCell ref="L25:M25"/>
    <mergeCell ref="B16:C16"/>
    <mergeCell ref="D16:E16"/>
    <mergeCell ref="F16:G16"/>
    <mergeCell ref="L16:M16"/>
    <mergeCell ref="B17:C17"/>
    <mergeCell ref="D17:E17"/>
    <mergeCell ref="F17:G17"/>
    <mergeCell ref="L17:M17"/>
    <mergeCell ref="B18:C18"/>
    <mergeCell ref="D18:E18"/>
    <mergeCell ref="F18:G18"/>
    <mergeCell ref="L18:M18"/>
    <mergeCell ref="B19:C19"/>
    <mergeCell ref="D19:E19"/>
    <mergeCell ref="F19:G19"/>
    <mergeCell ref="L19:M19"/>
    <mergeCell ref="B20:C20"/>
    <mergeCell ref="D20:E20"/>
    <mergeCell ref="F20:G20"/>
    <mergeCell ref="L20:M20"/>
    <mergeCell ref="B11:C11"/>
    <mergeCell ref="D11:E11"/>
    <mergeCell ref="F11:G11"/>
    <mergeCell ref="L11:M11"/>
    <mergeCell ref="B12:C12"/>
    <mergeCell ref="D12:E12"/>
    <mergeCell ref="F12:G12"/>
    <mergeCell ref="L12:M12"/>
    <mergeCell ref="B13:C13"/>
    <mergeCell ref="D13:E13"/>
    <mergeCell ref="F13:G13"/>
    <mergeCell ref="L13:M13"/>
    <mergeCell ref="B14:C14"/>
    <mergeCell ref="D14:E14"/>
    <mergeCell ref="F14:G14"/>
    <mergeCell ref="L14:M14"/>
    <mergeCell ref="B15:C15"/>
    <mergeCell ref="D15:E15"/>
    <mergeCell ref="F15:G15"/>
    <mergeCell ref="L15:M15"/>
    <mergeCell ref="B6:C6"/>
    <mergeCell ref="D6:E6"/>
    <mergeCell ref="F6:G6"/>
    <mergeCell ref="L6:M6"/>
    <mergeCell ref="B7:C7"/>
    <mergeCell ref="D7:E7"/>
    <mergeCell ref="F7:G7"/>
    <mergeCell ref="L7:M7"/>
    <mergeCell ref="B8:C8"/>
    <mergeCell ref="D8:E8"/>
    <mergeCell ref="F8:G8"/>
    <mergeCell ref="L8:M8"/>
    <mergeCell ref="B9:C9"/>
    <mergeCell ref="D9:E9"/>
    <mergeCell ref="F9:G9"/>
    <mergeCell ref="L9:M9"/>
    <mergeCell ref="B10:C10"/>
    <mergeCell ref="D10:E10"/>
    <mergeCell ref="F10:G10"/>
    <mergeCell ref="L10:M10"/>
    <mergeCell ref="A1:M1"/>
    <mergeCell ref="B2:C2"/>
    <mergeCell ref="D2:E2"/>
    <mergeCell ref="F2:G2"/>
    <mergeCell ref="L2:M2"/>
    <mergeCell ref="B3:C3"/>
    <mergeCell ref="D3:E3"/>
    <mergeCell ref="F3:G3"/>
    <mergeCell ref="L3:M3"/>
    <mergeCell ref="B4:C4"/>
    <mergeCell ref="D4:E4"/>
    <mergeCell ref="F4:G4"/>
    <mergeCell ref="L4:M4"/>
    <mergeCell ref="B5:C5"/>
    <mergeCell ref="D5:E5"/>
    <mergeCell ref="F5:G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1"/>
  <sheetViews>
    <sheetView tabSelected="1" topLeftCell="A151" workbookViewId="0">
      <selection activeCell="B2" sqref="B2:D1041"/>
    </sheetView>
  </sheetViews>
  <sheetFormatPr defaultRowHeight="12.75" x14ac:dyDescent="0.2"/>
  <cols>
    <col min="1" max="1" width="9.33203125" style="24"/>
    <col min="2" max="2" width="46.5" customWidth="1"/>
    <col min="3" max="3" width="21.5" customWidth="1"/>
    <col min="4" max="4" width="16.6640625" customWidth="1"/>
  </cols>
  <sheetData>
    <row r="1" spans="1:4" ht="18.75" x14ac:dyDescent="0.2">
      <c r="A1" s="27" t="s">
        <v>1331</v>
      </c>
      <c r="B1" s="28" t="s">
        <v>2381</v>
      </c>
      <c r="C1" s="28" t="s">
        <v>2372</v>
      </c>
      <c r="D1" s="28" t="s">
        <v>2373</v>
      </c>
    </row>
    <row r="2" spans="1:4" ht="15" x14ac:dyDescent="0.2">
      <c r="A2" s="25" t="s">
        <v>1332</v>
      </c>
      <c r="B2" s="8" t="s">
        <v>2</v>
      </c>
      <c r="C2" s="8" t="s">
        <v>3</v>
      </c>
      <c r="D2" s="29">
        <v>26.5</v>
      </c>
    </row>
    <row r="3" spans="1:4" ht="15" x14ac:dyDescent="0.2">
      <c r="A3" s="25" t="s">
        <v>1333</v>
      </c>
      <c r="B3" s="8" t="s">
        <v>5</v>
      </c>
      <c r="C3" s="8" t="s">
        <v>6</v>
      </c>
      <c r="D3" s="29">
        <v>37</v>
      </c>
    </row>
    <row r="4" spans="1:4" ht="15" x14ac:dyDescent="0.2">
      <c r="A4" s="25" t="s">
        <v>1334</v>
      </c>
      <c r="B4" s="8" t="s">
        <v>8</v>
      </c>
      <c r="C4" s="8" t="s">
        <v>6</v>
      </c>
      <c r="D4" s="29">
        <v>13</v>
      </c>
    </row>
    <row r="5" spans="1:4" ht="15" x14ac:dyDescent="0.2">
      <c r="A5" s="25" t="s">
        <v>1335</v>
      </c>
      <c r="B5" s="8" t="s">
        <v>10</v>
      </c>
      <c r="C5" s="8" t="s">
        <v>6</v>
      </c>
      <c r="D5" s="29">
        <v>61.8</v>
      </c>
    </row>
    <row r="6" spans="1:4" ht="15" x14ac:dyDescent="0.2">
      <c r="A6" s="25" t="s">
        <v>1336</v>
      </c>
      <c r="B6" s="8" t="s">
        <v>13</v>
      </c>
      <c r="C6" s="8" t="s">
        <v>6</v>
      </c>
      <c r="D6" s="29">
        <v>25</v>
      </c>
    </row>
    <row r="7" spans="1:4" ht="15" x14ac:dyDescent="0.2">
      <c r="A7" s="25" t="s">
        <v>1337</v>
      </c>
      <c r="B7" s="8" t="s">
        <v>15</v>
      </c>
      <c r="C7" s="8" t="s">
        <v>3</v>
      </c>
      <c r="D7" s="29">
        <v>9.5</v>
      </c>
    </row>
    <row r="8" spans="1:4" ht="15" x14ac:dyDescent="0.2">
      <c r="A8" s="25" t="s">
        <v>1338</v>
      </c>
      <c r="B8" s="8" t="s">
        <v>17</v>
      </c>
      <c r="C8" s="8" t="s">
        <v>6</v>
      </c>
      <c r="D8" s="29">
        <v>52</v>
      </c>
    </row>
    <row r="9" spans="1:4" ht="15" x14ac:dyDescent="0.2">
      <c r="A9" s="25" t="s">
        <v>1339</v>
      </c>
      <c r="B9" s="8" t="s">
        <v>19</v>
      </c>
      <c r="C9" s="8" t="s">
        <v>6</v>
      </c>
      <c r="D9" s="29">
        <v>66</v>
      </c>
    </row>
    <row r="10" spans="1:4" ht="15" x14ac:dyDescent="0.2">
      <c r="A10" s="25" t="s">
        <v>1340</v>
      </c>
      <c r="B10" s="8" t="s">
        <v>21</v>
      </c>
      <c r="C10" s="8" t="s">
        <v>6</v>
      </c>
      <c r="D10" s="29">
        <v>92</v>
      </c>
    </row>
    <row r="11" spans="1:4" ht="15" x14ac:dyDescent="0.2">
      <c r="A11" s="25" t="s">
        <v>1341</v>
      </c>
      <c r="B11" s="8" t="s">
        <v>23</v>
      </c>
      <c r="C11" s="8" t="s">
        <v>6</v>
      </c>
      <c r="D11" s="29">
        <v>50</v>
      </c>
    </row>
    <row r="12" spans="1:4" ht="15" x14ac:dyDescent="0.2">
      <c r="A12" s="25" t="s">
        <v>1342</v>
      </c>
      <c r="B12" s="8" t="s">
        <v>25</v>
      </c>
      <c r="C12" s="8" t="s">
        <v>3</v>
      </c>
      <c r="D12" s="29">
        <v>38</v>
      </c>
    </row>
    <row r="13" spans="1:4" ht="15" x14ac:dyDescent="0.2">
      <c r="A13" s="25" t="s">
        <v>1343</v>
      </c>
      <c r="B13" s="8" t="s">
        <v>27</v>
      </c>
      <c r="C13" s="8" t="s">
        <v>6</v>
      </c>
      <c r="D13" s="29">
        <v>33.700000000000003</v>
      </c>
    </row>
    <row r="14" spans="1:4" ht="15" x14ac:dyDescent="0.2">
      <c r="A14" s="25" t="s">
        <v>1344</v>
      </c>
      <c r="B14" s="8" t="s">
        <v>29</v>
      </c>
      <c r="C14" s="8" t="s">
        <v>6</v>
      </c>
      <c r="D14" s="29">
        <v>44</v>
      </c>
    </row>
    <row r="15" spans="1:4" ht="15" x14ac:dyDescent="0.2">
      <c r="A15" s="25" t="s">
        <v>1345</v>
      </c>
      <c r="B15" s="8" t="s">
        <v>31</v>
      </c>
      <c r="C15" s="8" t="s">
        <v>6</v>
      </c>
      <c r="D15" s="29">
        <v>54</v>
      </c>
    </row>
    <row r="16" spans="1:4" ht="15" x14ac:dyDescent="0.2">
      <c r="A16" s="25" t="s">
        <v>1346</v>
      </c>
      <c r="B16" s="8" t="s">
        <v>33</v>
      </c>
      <c r="C16" s="8" t="s">
        <v>6</v>
      </c>
      <c r="D16" s="29">
        <v>57</v>
      </c>
    </row>
    <row r="17" spans="1:4" ht="15" x14ac:dyDescent="0.2">
      <c r="A17" s="25" t="s">
        <v>1347</v>
      </c>
      <c r="B17" s="8" t="s">
        <v>35</v>
      </c>
      <c r="C17" s="8" t="s">
        <v>6</v>
      </c>
      <c r="D17" s="29">
        <v>32</v>
      </c>
    </row>
    <row r="18" spans="1:4" ht="15" x14ac:dyDescent="0.2">
      <c r="A18" s="25" t="s">
        <v>1348</v>
      </c>
      <c r="B18" s="8" t="s">
        <v>38</v>
      </c>
      <c r="C18" s="8" t="s">
        <v>6</v>
      </c>
      <c r="D18" s="29">
        <v>31.5</v>
      </c>
    </row>
    <row r="19" spans="1:4" ht="15" x14ac:dyDescent="0.2">
      <c r="A19" s="25" t="s">
        <v>1349</v>
      </c>
      <c r="B19" s="8" t="s">
        <v>40</v>
      </c>
      <c r="C19" s="8" t="s">
        <v>6</v>
      </c>
      <c r="D19" s="29">
        <v>84</v>
      </c>
    </row>
    <row r="20" spans="1:4" ht="15" x14ac:dyDescent="0.2">
      <c r="A20" s="25" t="s">
        <v>1350</v>
      </c>
      <c r="B20" s="8" t="s">
        <v>42</v>
      </c>
      <c r="C20" s="8" t="s">
        <v>6</v>
      </c>
      <c r="D20" s="29">
        <v>133</v>
      </c>
    </row>
    <row r="21" spans="1:4" ht="15" x14ac:dyDescent="0.2">
      <c r="A21" s="25" t="s">
        <v>1351</v>
      </c>
      <c r="B21" s="8" t="s">
        <v>44</v>
      </c>
      <c r="C21" s="8" t="s">
        <v>45</v>
      </c>
      <c r="D21" s="29">
        <v>16</v>
      </c>
    </row>
    <row r="22" spans="1:4" ht="15" x14ac:dyDescent="0.2">
      <c r="A22" s="25" t="s">
        <v>1352</v>
      </c>
      <c r="B22" s="8" t="s">
        <v>47</v>
      </c>
      <c r="C22" s="8" t="s">
        <v>6</v>
      </c>
      <c r="D22" s="29">
        <v>19</v>
      </c>
    </row>
    <row r="23" spans="1:4" ht="15" x14ac:dyDescent="0.2">
      <c r="A23" s="25" t="s">
        <v>1353</v>
      </c>
      <c r="B23" s="8" t="s">
        <v>49</v>
      </c>
      <c r="C23" s="8" t="s">
        <v>6</v>
      </c>
      <c r="D23" s="29">
        <v>29</v>
      </c>
    </row>
    <row r="24" spans="1:4" ht="15" x14ac:dyDescent="0.2">
      <c r="A24" s="25" t="s">
        <v>1354</v>
      </c>
      <c r="B24" s="8" t="s">
        <v>51</v>
      </c>
      <c r="C24" s="8" t="s">
        <v>6</v>
      </c>
      <c r="D24" s="29">
        <v>70</v>
      </c>
    </row>
    <row r="25" spans="1:4" ht="15" x14ac:dyDescent="0.2">
      <c r="A25" s="25" t="s">
        <v>1355</v>
      </c>
      <c r="B25" s="8" t="s">
        <v>53</v>
      </c>
      <c r="C25" s="8" t="s">
        <v>3</v>
      </c>
      <c r="D25" s="29">
        <v>43</v>
      </c>
    </row>
    <row r="26" spans="1:4" ht="15" x14ac:dyDescent="0.2">
      <c r="A26" s="25" t="s">
        <v>1356</v>
      </c>
      <c r="B26" s="8" t="s">
        <v>55</v>
      </c>
      <c r="C26" s="8" t="s">
        <v>6</v>
      </c>
      <c r="D26" s="29">
        <v>35</v>
      </c>
    </row>
    <row r="27" spans="1:4" ht="15" x14ac:dyDescent="0.2">
      <c r="A27" s="25" t="s">
        <v>1357</v>
      </c>
      <c r="B27" s="8" t="s">
        <v>57</v>
      </c>
      <c r="C27" s="8" t="s">
        <v>3</v>
      </c>
      <c r="D27" s="29">
        <v>21.5</v>
      </c>
    </row>
    <row r="28" spans="1:4" ht="15" x14ac:dyDescent="0.2">
      <c r="A28" s="25" t="s">
        <v>1358</v>
      </c>
      <c r="B28" s="8" t="s">
        <v>59</v>
      </c>
      <c r="C28" s="8" t="s">
        <v>6</v>
      </c>
      <c r="D28" s="29">
        <v>20.3</v>
      </c>
    </row>
    <row r="29" spans="1:4" ht="15" x14ac:dyDescent="0.2">
      <c r="A29" s="25" t="s">
        <v>1359</v>
      </c>
      <c r="B29" s="8" t="s">
        <v>61</v>
      </c>
      <c r="C29" s="8" t="s">
        <v>6</v>
      </c>
      <c r="D29" s="29">
        <v>19</v>
      </c>
    </row>
    <row r="30" spans="1:4" ht="15" x14ac:dyDescent="0.2">
      <c r="A30" s="25" t="s">
        <v>1360</v>
      </c>
      <c r="B30" s="8" t="s">
        <v>63</v>
      </c>
      <c r="C30" s="8" t="s">
        <v>3</v>
      </c>
      <c r="D30" s="29">
        <v>95</v>
      </c>
    </row>
    <row r="31" spans="1:4" ht="15" x14ac:dyDescent="0.2">
      <c r="A31" s="25" t="s">
        <v>1361</v>
      </c>
      <c r="B31" s="8" t="s">
        <v>65</v>
      </c>
      <c r="C31" s="8" t="s">
        <v>6</v>
      </c>
      <c r="D31" s="29">
        <v>66</v>
      </c>
    </row>
    <row r="32" spans="1:4" ht="15" x14ac:dyDescent="0.2">
      <c r="A32" s="25" t="s">
        <v>1362</v>
      </c>
      <c r="B32" s="8" t="s">
        <v>67</v>
      </c>
      <c r="C32" s="8" t="s">
        <v>6</v>
      </c>
      <c r="D32" s="29">
        <v>63</v>
      </c>
    </row>
    <row r="33" spans="1:4" ht="15" x14ac:dyDescent="0.2">
      <c r="A33" s="25" t="s">
        <v>1363</v>
      </c>
      <c r="B33" s="8" t="s">
        <v>69</v>
      </c>
      <c r="C33" s="8" t="s">
        <v>6</v>
      </c>
      <c r="D33" s="29">
        <v>15</v>
      </c>
    </row>
    <row r="34" spans="1:4" ht="15" x14ac:dyDescent="0.2">
      <c r="A34" s="25" t="s">
        <v>1364</v>
      </c>
      <c r="B34" s="8" t="s">
        <v>71</v>
      </c>
      <c r="C34" s="8" t="s">
        <v>6</v>
      </c>
      <c r="D34" s="29">
        <v>28</v>
      </c>
    </row>
    <row r="35" spans="1:4" ht="15" x14ac:dyDescent="0.2">
      <c r="A35" s="25" t="s">
        <v>1365</v>
      </c>
      <c r="B35" s="8" t="s">
        <v>73</v>
      </c>
      <c r="C35" s="8" t="s">
        <v>3</v>
      </c>
      <c r="D35" s="29">
        <v>14.6</v>
      </c>
    </row>
    <row r="36" spans="1:4" ht="15" x14ac:dyDescent="0.2">
      <c r="A36" s="25" t="s">
        <v>1366</v>
      </c>
      <c r="B36" s="8" t="s">
        <v>75</v>
      </c>
      <c r="C36" s="8" t="s">
        <v>3</v>
      </c>
      <c r="D36" s="29">
        <v>13</v>
      </c>
    </row>
    <row r="37" spans="1:4" ht="15" x14ac:dyDescent="0.2">
      <c r="A37" s="25" t="s">
        <v>1367</v>
      </c>
      <c r="B37" s="8" t="s">
        <v>77</v>
      </c>
      <c r="C37" s="8" t="s">
        <v>6</v>
      </c>
      <c r="D37" s="29">
        <v>30</v>
      </c>
    </row>
    <row r="38" spans="1:4" ht="15" x14ac:dyDescent="0.2">
      <c r="A38" s="25" t="s">
        <v>1368</v>
      </c>
      <c r="B38" s="8" t="s">
        <v>79</v>
      </c>
      <c r="C38" s="8" t="s">
        <v>6</v>
      </c>
      <c r="D38" s="29">
        <v>43</v>
      </c>
    </row>
    <row r="39" spans="1:4" ht="15" x14ac:dyDescent="0.2">
      <c r="A39" s="25" t="s">
        <v>1369</v>
      </c>
      <c r="B39" s="8" t="s">
        <v>81</v>
      </c>
      <c r="C39" s="8" t="s">
        <v>6</v>
      </c>
      <c r="D39" s="29">
        <v>16</v>
      </c>
    </row>
    <row r="40" spans="1:4" ht="15" x14ac:dyDescent="0.2">
      <c r="A40" s="25" t="s">
        <v>1370</v>
      </c>
      <c r="B40" s="8" t="s">
        <v>83</v>
      </c>
      <c r="C40" s="8" t="s">
        <v>6</v>
      </c>
      <c r="D40" s="29">
        <v>11</v>
      </c>
    </row>
    <row r="41" spans="1:4" ht="15" x14ac:dyDescent="0.2">
      <c r="A41" s="25" t="s">
        <v>1371</v>
      </c>
      <c r="B41" s="8" t="s">
        <v>85</v>
      </c>
      <c r="C41" s="8" t="s">
        <v>6</v>
      </c>
      <c r="D41" s="29">
        <v>20</v>
      </c>
    </row>
    <row r="42" spans="1:4" ht="15" x14ac:dyDescent="0.2">
      <c r="A42" s="25" t="s">
        <v>1372</v>
      </c>
      <c r="B42" s="8" t="s">
        <v>87</v>
      </c>
      <c r="C42" s="8" t="s">
        <v>6</v>
      </c>
      <c r="D42" s="29">
        <v>12</v>
      </c>
    </row>
    <row r="43" spans="1:4" ht="15" x14ac:dyDescent="0.2">
      <c r="A43" s="25" t="s">
        <v>1373</v>
      </c>
      <c r="B43" s="8" t="s">
        <v>89</v>
      </c>
      <c r="C43" s="8" t="s">
        <v>6</v>
      </c>
      <c r="D43" s="29">
        <v>22</v>
      </c>
    </row>
    <row r="44" spans="1:4" ht="15" x14ac:dyDescent="0.2">
      <c r="A44" s="25" t="s">
        <v>1374</v>
      </c>
      <c r="B44" s="8" t="s">
        <v>91</v>
      </c>
      <c r="C44" s="8" t="s">
        <v>6</v>
      </c>
      <c r="D44" s="29">
        <v>30.5</v>
      </c>
    </row>
    <row r="45" spans="1:4" ht="15" x14ac:dyDescent="0.2">
      <c r="A45" s="25" t="s">
        <v>1375</v>
      </c>
      <c r="B45" s="8" t="s">
        <v>93</v>
      </c>
      <c r="C45" s="8" t="s">
        <v>6</v>
      </c>
      <c r="D45" s="29">
        <v>38</v>
      </c>
    </row>
    <row r="46" spans="1:4" ht="15" x14ac:dyDescent="0.2">
      <c r="A46" s="25" t="s">
        <v>1376</v>
      </c>
      <c r="B46" s="8" t="s">
        <v>95</v>
      </c>
      <c r="C46" s="8" t="s">
        <v>3</v>
      </c>
      <c r="D46" s="29">
        <v>50</v>
      </c>
    </row>
    <row r="47" spans="1:4" ht="15" x14ac:dyDescent="0.2">
      <c r="A47" s="25" t="s">
        <v>1377</v>
      </c>
      <c r="B47" s="8" t="s">
        <v>97</v>
      </c>
      <c r="C47" s="8" t="s">
        <v>6</v>
      </c>
      <c r="D47" s="29">
        <v>79</v>
      </c>
    </row>
    <row r="48" spans="1:4" ht="15" x14ac:dyDescent="0.2">
      <c r="A48" s="25" t="s">
        <v>1378</v>
      </c>
      <c r="B48" s="8" t="s">
        <v>99</v>
      </c>
      <c r="C48" s="8" t="s">
        <v>3</v>
      </c>
      <c r="D48" s="29">
        <v>130</v>
      </c>
    </row>
    <row r="49" spans="1:4" ht="15" x14ac:dyDescent="0.2">
      <c r="A49" s="25" t="s">
        <v>1379</v>
      </c>
      <c r="B49" s="8" t="s">
        <v>102</v>
      </c>
      <c r="C49" s="8" t="s">
        <v>6</v>
      </c>
      <c r="D49" s="29">
        <v>68</v>
      </c>
    </row>
    <row r="50" spans="1:4" ht="15" x14ac:dyDescent="0.2">
      <c r="A50" s="25" t="s">
        <v>1380</v>
      </c>
      <c r="B50" s="8" t="s">
        <v>104</v>
      </c>
      <c r="C50" s="8" t="s">
        <v>6</v>
      </c>
      <c r="D50" s="29">
        <v>37</v>
      </c>
    </row>
    <row r="51" spans="1:4" ht="15" x14ac:dyDescent="0.2">
      <c r="A51" s="25" t="s">
        <v>1381</v>
      </c>
      <c r="B51" s="8" t="s">
        <v>106</v>
      </c>
      <c r="C51" s="8" t="s">
        <v>6</v>
      </c>
      <c r="D51" s="29">
        <v>53</v>
      </c>
    </row>
    <row r="52" spans="1:4" ht="15" x14ac:dyDescent="0.2">
      <c r="A52" s="25" t="s">
        <v>1382</v>
      </c>
      <c r="B52" s="8" t="s">
        <v>108</v>
      </c>
      <c r="C52" s="8" t="s">
        <v>6</v>
      </c>
      <c r="D52" s="29">
        <v>82</v>
      </c>
    </row>
    <row r="53" spans="1:4" ht="15" x14ac:dyDescent="0.2">
      <c r="A53" s="25" t="s">
        <v>1383</v>
      </c>
      <c r="B53" s="8" t="s">
        <v>110</v>
      </c>
      <c r="C53" s="8" t="s">
        <v>111</v>
      </c>
      <c r="D53" s="30">
        <v>36</v>
      </c>
    </row>
    <row r="54" spans="1:4" ht="15" x14ac:dyDescent="0.2">
      <c r="A54" s="25" t="s">
        <v>1384</v>
      </c>
      <c r="B54" s="8" t="s">
        <v>4</v>
      </c>
      <c r="C54" s="8" t="s">
        <v>3</v>
      </c>
      <c r="D54" s="10">
        <v>121</v>
      </c>
    </row>
    <row r="55" spans="1:4" ht="15" x14ac:dyDescent="0.2">
      <c r="A55" s="25" t="s">
        <v>1385</v>
      </c>
      <c r="B55" s="8" t="s">
        <v>7</v>
      </c>
      <c r="C55" s="8" t="s">
        <v>6</v>
      </c>
      <c r="D55" s="10">
        <v>142</v>
      </c>
    </row>
    <row r="56" spans="1:4" ht="15" x14ac:dyDescent="0.2">
      <c r="A56" s="25" t="s">
        <v>1386</v>
      </c>
      <c r="B56" s="8" t="s">
        <v>9</v>
      </c>
      <c r="C56" s="8" t="s">
        <v>6</v>
      </c>
      <c r="D56" s="10">
        <v>157</v>
      </c>
    </row>
    <row r="57" spans="1:4" ht="15" x14ac:dyDescent="0.2">
      <c r="A57" s="25" t="s">
        <v>1387</v>
      </c>
      <c r="B57" s="8" t="s">
        <v>11</v>
      </c>
      <c r="C57" s="8" t="s">
        <v>12</v>
      </c>
      <c r="D57" s="10">
        <v>76</v>
      </c>
    </row>
    <row r="58" spans="1:4" ht="15" x14ac:dyDescent="0.2">
      <c r="A58" s="25" t="s">
        <v>1388</v>
      </c>
      <c r="B58" s="8" t="s">
        <v>14</v>
      </c>
      <c r="C58" s="8" t="s">
        <v>3</v>
      </c>
      <c r="D58" s="10">
        <v>33</v>
      </c>
    </row>
    <row r="59" spans="1:4" ht="15" x14ac:dyDescent="0.2">
      <c r="A59" s="25" t="s">
        <v>1389</v>
      </c>
      <c r="B59" s="8" t="s">
        <v>16</v>
      </c>
      <c r="C59" s="8" t="s">
        <v>3</v>
      </c>
      <c r="D59" s="10">
        <v>19</v>
      </c>
    </row>
    <row r="60" spans="1:4" ht="15" x14ac:dyDescent="0.2">
      <c r="A60" s="25" t="s">
        <v>1390</v>
      </c>
      <c r="B60" s="8" t="s">
        <v>18</v>
      </c>
      <c r="C60" s="8" t="s">
        <v>6</v>
      </c>
      <c r="D60" s="10">
        <v>40</v>
      </c>
    </row>
    <row r="61" spans="1:4" ht="15" x14ac:dyDescent="0.2">
      <c r="A61" s="25" t="s">
        <v>1391</v>
      </c>
      <c r="B61" s="8" t="s">
        <v>20</v>
      </c>
      <c r="C61" s="8" t="s">
        <v>6</v>
      </c>
      <c r="D61" s="10">
        <v>337</v>
      </c>
    </row>
    <row r="62" spans="1:4" ht="15" x14ac:dyDescent="0.2">
      <c r="A62" s="25" t="s">
        <v>1392</v>
      </c>
      <c r="B62" s="8" t="s">
        <v>22</v>
      </c>
      <c r="C62" s="8" t="s">
        <v>6</v>
      </c>
      <c r="D62" s="10">
        <v>13</v>
      </c>
    </row>
    <row r="63" spans="1:4" ht="15" customHeight="1" x14ac:dyDescent="0.2">
      <c r="A63" s="25" t="s">
        <v>1393</v>
      </c>
      <c r="B63" s="8" t="s">
        <v>24</v>
      </c>
      <c r="C63" s="8" t="s">
        <v>6</v>
      </c>
      <c r="D63" s="10">
        <v>85</v>
      </c>
    </row>
    <row r="64" spans="1:4" ht="15" x14ac:dyDescent="0.2">
      <c r="A64" s="25" t="s">
        <v>1394</v>
      </c>
      <c r="B64" s="8" t="s">
        <v>26</v>
      </c>
      <c r="C64" s="8" t="s">
        <v>6</v>
      </c>
      <c r="D64" s="10">
        <v>21</v>
      </c>
    </row>
    <row r="65" spans="1:4" ht="15" x14ac:dyDescent="0.2">
      <c r="A65" s="25" t="s">
        <v>1395</v>
      </c>
      <c r="B65" s="8" t="s">
        <v>28</v>
      </c>
      <c r="C65" s="8" t="s">
        <v>3</v>
      </c>
      <c r="D65" s="10">
        <v>40</v>
      </c>
    </row>
    <row r="66" spans="1:4" ht="15" x14ac:dyDescent="0.2">
      <c r="A66" s="25" t="s">
        <v>1396</v>
      </c>
      <c r="B66" s="8" t="s">
        <v>30</v>
      </c>
      <c r="C66" s="8" t="s">
        <v>6</v>
      </c>
      <c r="D66" s="10">
        <v>35</v>
      </c>
    </row>
    <row r="67" spans="1:4" ht="15" x14ac:dyDescent="0.2">
      <c r="A67" s="25" t="s">
        <v>1397</v>
      </c>
      <c r="B67" s="8" t="s">
        <v>32</v>
      </c>
      <c r="C67" s="8" t="s">
        <v>3</v>
      </c>
      <c r="D67" s="10">
        <v>14</v>
      </c>
    </row>
    <row r="68" spans="1:4" ht="15" x14ac:dyDescent="0.2">
      <c r="A68" s="25" t="s">
        <v>1398</v>
      </c>
      <c r="B68" s="8" t="s">
        <v>34</v>
      </c>
      <c r="C68" s="8" t="s">
        <v>3</v>
      </c>
      <c r="D68" s="10">
        <v>13.6</v>
      </c>
    </row>
    <row r="69" spans="1:4" ht="15" x14ac:dyDescent="0.2">
      <c r="A69" s="25" t="s">
        <v>1399</v>
      </c>
      <c r="B69" s="8" t="s">
        <v>36</v>
      </c>
      <c r="C69" s="8" t="s">
        <v>37</v>
      </c>
      <c r="D69" s="10">
        <v>125</v>
      </c>
    </row>
    <row r="70" spans="1:4" ht="15" x14ac:dyDescent="0.2">
      <c r="A70" s="25" t="s">
        <v>1400</v>
      </c>
      <c r="B70" s="8" t="s">
        <v>39</v>
      </c>
      <c r="C70" s="8" t="s">
        <v>37</v>
      </c>
      <c r="D70" s="10">
        <v>55</v>
      </c>
    </row>
    <row r="71" spans="1:4" ht="15" x14ac:dyDescent="0.2">
      <c r="A71" s="25" t="s">
        <v>1401</v>
      </c>
      <c r="B71" s="8" t="s">
        <v>41</v>
      </c>
      <c r="C71" s="8" t="s">
        <v>6</v>
      </c>
      <c r="D71" s="10">
        <v>43</v>
      </c>
    </row>
    <row r="72" spans="1:4" ht="15" x14ac:dyDescent="0.2">
      <c r="A72" s="25" t="s">
        <v>1402</v>
      </c>
      <c r="B72" s="8" t="s">
        <v>43</v>
      </c>
      <c r="C72" s="8" t="s">
        <v>6</v>
      </c>
      <c r="D72" s="10">
        <v>30</v>
      </c>
    </row>
    <row r="73" spans="1:4" ht="15" x14ac:dyDescent="0.2">
      <c r="A73" s="25" t="s">
        <v>1403</v>
      </c>
      <c r="B73" s="8" t="s">
        <v>46</v>
      </c>
      <c r="C73" s="8" t="s">
        <v>3</v>
      </c>
      <c r="D73" s="10">
        <v>23</v>
      </c>
    </row>
    <row r="74" spans="1:4" ht="15" x14ac:dyDescent="0.2">
      <c r="A74" s="25" t="s">
        <v>1404</v>
      </c>
      <c r="B74" s="8" t="s">
        <v>48</v>
      </c>
      <c r="C74" s="8" t="s">
        <v>6</v>
      </c>
      <c r="D74" s="10">
        <v>23</v>
      </c>
    </row>
    <row r="75" spans="1:4" ht="15" x14ac:dyDescent="0.2">
      <c r="A75" s="25" t="s">
        <v>1405</v>
      </c>
      <c r="B75" s="8" t="s">
        <v>50</v>
      </c>
      <c r="C75" s="8" t="s">
        <v>6</v>
      </c>
      <c r="D75" s="10">
        <v>24</v>
      </c>
    </row>
    <row r="76" spans="1:4" ht="15" x14ac:dyDescent="0.2">
      <c r="A76" s="25" t="s">
        <v>1406</v>
      </c>
      <c r="B76" s="8" t="s">
        <v>52</v>
      </c>
      <c r="C76" s="8" t="s">
        <v>6</v>
      </c>
      <c r="D76" s="10">
        <v>45</v>
      </c>
    </row>
    <row r="77" spans="1:4" ht="15" x14ac:dyDescent="0.2">
      <c r="A77" s="25" t="s">
        <v>1407</v>
      </c>
      <c r="B77" s="8" t="s">
        <v>54</v>
      </c>
      <c r="C77" s="8" t="s">
        <v>6</v>
      </c>
      <c r="D77" s="10">
        <v>65</v>
      </c>
    </row>
    <row r="78" spans="1:4" ht="15" x14ac:dyDescent="0.2">
      <c r="A78" s="25" t="s">
        <v>1408</v>
      </c>
      <c r="B78" s="8" t="s">
        <v>56</v>
      </c>
      <c r="C78" s="8" t="s">
        <v>6</v>
      </c>
      <c r="D78" s="10">
        <v>74</v>
      </c>
    </row>
    <row r="79" spans="1:4" ht="15" x14ac:dyDescent="0.2">
      <c r="A79" s="25" t="s">
        <v>1409</v>
      </c>
      <c r="B79" s="8" t="s">
        <v>58</v>
      </c>
      <c r="C79" s="8" t="s">
        <v>6</v>
      </c>
      <c r="D79" s="10">
        <v>77</v>
      </c>
    </row>
    <row r="80" spans="1:4" ht="15" x14ac:dyDescent="0.2">
      <c r="A80" s="25" t="s">
        <v>1410</v>
      </c>
      <c r="B80" s="8" t="s">
        <v>60</v>
      </c>
      <c r="C80" s="8" t="s">
        <v>6</v>
      </c>
      <c r="D80" s="10">
        <v>63</v>
      </c>
    </row>
    <row r="81" spans="1:4" ht="15" x14ac:dyDescent="0.2">
      <c r="A81" s="25" t="s">
        <v>1411</v>
      </c>
      <c r="B81" s="8" t="s">
        <v>62</v>
      </c>
      <c r="C81" s="8" t="s">
        <v>6</v>
      </c>
      <c r="D81" s="10">
        <v>32</v>
      </c>
    </row>
    <row r="82" spans="1:4" ht="15" x14ac:dyDescent="0.2">
      <c r="A82" s="25" t="s">
        <v>1412</v>
      </c>
      <c r="B82" s="8" t="s">
        <v>64</v>
      </c>
      <c r="C82" s="8" t="s">
        <v>6</v>
      </c>
      <c r="D82" s="10">
        <v>34</v>
      </c>
    </row>
    <row r="83" spans="1:4" ht="15" x14ac:dyDescent="0.2">
      <c r="A83" s="25" t="s">
        <v>1413</v>
      </c>
      <c r="B83" s="8" t="s">
        <v>66</v>
      </c>
      <c r="C83" s="8" t="s">
        <v>6</v>
      </c>
      <c r="D83" s="10">
        <v>24</v>
      </c>
    </row>
    <row r="84" spans="1:4" ht="15" x14ac:dyDescent="0.2">
      <c r="A84" s="25" t="s">
        <v>1414</v>
      </c>
      <c r="B84" s="8" t="s">
        <v>68</v>
      </c>
      <c r="C84" s="8" t="s">
        <v>6</v>
      </c>
      <c r="D84" s="10">
        <v>64</v>
      </c>
    </row>
    <row r="85" spans="1:4" ht="15" x14ac:dyDescent="0.2">
      <c r="A85" s="25" t="s">
        <v>1415</v>
      </c>
      <c r="B85" s="8" t="s">
        <v>70</v>
      </c>
      <c r="C85" s="8" t="s">
        <v>6</v>
      </c>
      <c r="D85" s="10">
        <v>60</v>
      </c>
    </row>
    <row r="86" spans="1:4" ht="15" x14ac:dyDescent="0.2">
      <c r="A86" s="25" t="s">
        <v>1416</v>
      </c>
      <c r="B86" s="8" t="s">
        <v>72</v>
      </c>
      <c r="C86" s="8" t="s">
        <v>6</v>
      </c>
      <c r="D86" s="10">
        <v>15</v>
      </c>
    </row>
    <row r="87" spans="1:4" ht="15" x14ac:dyDescent="0.2">
      <c r="A87" s="25" t="s">
        <v>1417</v>
      </c>
      <c r="B87" s="8" t="s">
        <v>74</v>
      </c>
      <c r="C87" s="8" t="s">
        <v>12</v>
      </c>
      <c r="D87" s="10">
        <v>24</v>
      </c>
    </row>
    <row r="88" spans="1:4" ht="15" x14ac:dyDescent="0.2">
      <c r="A88" s="25" t="s">
        <v>1418</v>
      </c>
      <c r="B88" s="8" t="s">
        <v>76</v>
      </c>
      <c r="C88" s="8" t="s">
        <v>6</v>
      </c>
      <c r="D88" s="10">
        <v>46</v>
      </c>
    </row>
    <row r="89" spans="1:4" ht="15" x14ac:dyDescent="0.2">
      <c r="A89" s="25" t="s">
        <v>1419</v>
      </c>
      <c r="B89" s="8" t="s">
        <v>78</v>
      </c>
      <c r="C89" s="8" t="s">
        <v>6</v>
      </c>
      <c r="D89" s="10">
        <v>55</v>
      </c>
    </row>
    <row r="90" spans="1:4" ht="15" x14ac:dyDescent="0.2">
      <c r="A90" s="25" t="s">
        <v>1420</v>
      </c>
      <c r="B90" s="8" t="s">
        <v>80</v>
      </c>
      <c r="C90" s="8" t="s">
        <v>6</v>
      </c>
      <c r="D90" s="10">
        <v>20.5</v>
      </c>
    </row>
    <row r="91" spans="1:4" ht="15" x14ac:dyDescent="0.2">
      <c r="A91" s="25" t="s">
        <v>1421</v>
      </c>
      <c r="B91" s="8" t="s">
        <v>82</v>
      </c>
      <c r="C91" s="8" t="s">
        <v>6</v>
      </c>
      <c r="D91" s="10">
        <v>135</v>
      </c>
    </row>
    <row r="92" spans="1:4" ht="15" x14ac:dyDescent="0.2">
      <c r="A92" s="25" t="s">
        <v>1422</v>
      </c>
      <c r="B92" s="8" t="s">
        <v>84</v>
      </c>
      <c r="C92" s="8" t="s">
        <v>6</v>
      </c>
      <c r="D92" s="10">
        <v>15.5</v>
      </c>
    </row>
    <row r="93" spans="1:4" ht="15" x14ac:dyDescent="0.2">
      <c r="A93" s="25" t="s">
        <v>1423</v>
      </c>
      <c r="B93" s="8" t="s">
        <v>86</v>
      </c>
      <c r="C93" s="8" t="s">
        <v>3</v>
      </c>
      <c r="D93" s="10">
        <v>15</v>
      </c>
    </row>
    <row r="94" spans="1:4" ht="15" x14ac:dyDescent="0.2">
      <c r="A94" s="25" t="s">
        <v>1424</v>
      </c>
      <c r="B94" s="8" t="s">
        <v>88</v>
      </c>
      <c r="C94" s="8" t="s">
        <v>6</v>
      </c>
      <c r="D94" s="10">
        <v>19</v>
      </c>
    </row>
    <row r="95" spans="1:4" ht="15" x14ac:dyDescent="0.2">
      <c r="A95" s="25" t="s">
        <v>1425</v>
      </c>
      <c r="B95" s="8" t="s">
        <v>90</v>
      </c>
      <c r="C95" s="8" t="s">
        <v>3</v>
      </c>
      <c r="D95" s="10">
        <v>17</v>
      </c>
    </row>
    <row r="96" spans="1:4" ht="15" x14ac:dyDescent="0.2">
      <c r="A96" s="25" t="s">
        <v>1426</v>
      </c>
      <c r="B96" s="8" t="s">
        <v>92</v>
      </c>
      <c r="C96" s="8" t="s">
        <v>3</v>
      </c>
      <c r="D96" s="10">
        <v>56.5</v>
      </c>
    </row>
    <row r="97" spans="1:4" ht="15" x14ac:dyDescent="0.2">
      <c r="A97" s="25" t="s">
        <v>1427</v>
      </c>
      <c r="B97" s="8" t="s">
        <v>94</v>
      </c>
      <c r="C97" s="8" t="s">
        <v>6</v>
      </c>
      <c r="D97" s="10">
        <v>55</v>
      </c>
    </row>
    <row r="98" spans="1:4" ht="15" x14ac:dyDescent="0.2">
      <c r="A98" s="25" t="s">
        <v>1428</v>
      </c>
      <c r="B98" s="8" t="s">
        <v>96</v>
      </c>
      <c r="C98" s="8" t="s">
        <v>3</v>
      </c>
      <c r="D98" s="10">
        <v>14.5</v>
      </c>
    </row>
    <row r="99" spans="1:4" ht="15" x14ac:dyDescent="0.2">
      <c r="A99" s="25" t="s">
        <v>1429</v>
      </c>
      <c r="B99" s="8" t="s">
        <v>98</v>
      </c>
      <c r="C99" s="8" t="s">
        <v>37</v>
      </c>
      <c r="D99" s="10">
        <v>34</v>
      </c>
    </row>
    <row r="100" spans="1:4" ht="15" x14ac:dyDescent="0.2">
      <c r="A100" s="25" t="s">
        <v>1430</v>
      </c>
      <c r="B100" s="8" t="s">
        <v>100</v>
      </c>
      <c r="C100" s="8" t="s">
        <v>101</v>
      </c>
      <c r="D100" s="10">
        <v>3.5</v>
      </c>
    </row>
    <row r="101" spans="1:4" ht="15" x14ac:dyDescent="0.2">
      <c r="A101" s="25" t="s">
        <v>1431</v>
      </c>
      <c r="B101" s="8" t="s">
        <v>103</v>
      </c>
      <c r="C101" s="8" t="s">
        <v>3</v>
      </c>
      <c r="D101" s="10">
        <v>21</v>
      </c>
    </row>
    <row r="102" spans="1:4" ht="15" x14ac:dyDescent="0.2">
      <c r="A102" s="25" t="s">
        <v>1432</v>
      </c>
      <c r="B102" s="8" t="s">
        <v>105</v>
      </c>
      <c r="C102" s="8" t="s">
        <v>6</v>
      </c>
      <c r="D102" s="10">
        <v>44</v>
      </c>
    </row>
    <row r="103" spans="1:4" ht="15" x14ac:dyDescent="0.2">
      <c r="A103" s="25" t="s">
        <v>1433</v>
      </c>
      <c r="B103" s="8" t="s">
        <v>107</v>
      </c>
      <c r="C103" s="8" t="s">
        <v>101</v>
      </c>
      <c r="D103" s="10">
        <v>75</v>
      </c>
    </row>
    <row r="104" spans="1:4" ht="15" x14ac:dyDescent="0.2">
      <c r="A104" s="25" t="s">
        <v>1434</v>
      </c>
      <c r="B104" s="8" t="s">
        <v>109</v>
      </c>
      <c r="C104" s="8" t="s">
        <v>101</v>
      </c>
      <c r="D104" s="10">
        <v>56</v>
      </c>
    </row>
    <row r="105" spans="1:4" ht="15" x14ac:dyDescent="0.2">
      <c r="A105" s="25" t="s">
        <v>1435</v>
      </c>
      <c r="B105" s="8" t="s">
        <v>112</v>
      </c>
      <c r="C105" s="8" t="s">
        <v>111</v>
      </c>
      <c r="D105" s="16">
        <v>40</v>
      </c>
    </row>
    <row r="106" spans="1:4" ht="15" x14ac:dyDescent="0.2">
      <c r="A106" s="25" t="s">
        <v>1436</v>
      </c>
      <c r="B106" s="8" t="s">
        <v>113</v>
      </c>
      <c r="C106" s="8" t="s">
        <v>6</v>
      </c>
      <c r="D106" s="29">
        <v>98</v>
      </c>
    </row>
    <row r="107" spans="1:4" ht="15" x14ac:dyDescent="0.2">
      <c r="A107" s="25" t="s">
        <v>1437</v>
      </c>
      <c r="B107" s="8" t="s">
        <v>115</v>
      </c>
      <c r="C107" s="8" t="s">
        <v>3</v>
      </c>
      <c r="D107" s="29">
        <v>45</v>
      </c>
    </row>
    <row r="108" spans="1:4" ht="15" x14ac:dyDescent="0.2">
      <c r="A108" s="25" t="s">
        <v>1438</v>
      </c>
      <c r="B108" s="8" t="s">
        <v>117</v>
      </c>
      <c r="C108" s="8" t="s">
        <v>6</v>
      </c>
      <c r="D108" s="29">
        <v>148</v>
      </c>
    </row>
    <row r="109" spans="1:4" ht="15" x14ac:dyDescent="0.2">
      <c r="A109" s="25" t="s">
        <v>1439</v>
      </c>
      <c r="B109" s="8" t="s">
        <v>119</v>
      </c>
      <c r="C109" s="8" t="s">
        <v>6</v>
      </c>
      <c r="D109" s="29">
        <v>198</v>
      </c>
    </row>
    <row r="110" spans="1:4" ht="15" x14ac:dyDescent="0.2">
      <c r="A110" s="25" t="s">
        <v>1440</v>
      </c>
      <c r="B110" s="8" t="s">
        <v>121</v>
      </c>
      <c r="C110" s="8" t="s">
        <v>3</v>
      </c>
      <c r="D110" s="29">
        <v>44</v>
      </c>
    </row>
    <row r="111" spans="1:4" ht="15" x14ac:dyDescent="0.2">
      <c r="A111" s="25" t="s">
        <v>1441</v>
      </c>
      <c r="B111" s="8" t="s">
        <v>124</v>
      </c>
      <c r="C111" s="8" t="s">
        <v>6</v>
      </c>
      <c r="D111" s="29">
        <v>32.5</v>
      </c>
    </row>
    <row r="112" spans="1:4" ht="15" x14ac:dyDescent="0.2">
      <c r="A112" s="25" t="s">
        <v>1442</v>
      </c>
      <c r="B112" s="8" t="s">
        <v>126</v>
      </c>
      <c r="C112" s="8" t="s">
        <v>6</v>
      </c>
      <c r="D112" s="29">
        <v>117</v>
      </c>
    </row>
    <row r="113" spans="1:4" ht="15" x14ac:dyDescent="0.2">
      <c r="A113" s="25" t="s">
        <v>1443</v>
      </c>
      <c r="B113" s="8" t="s">
        <v>128</v>
      </c>
      <c r="C113" s="8" t="s">
        <v>6</v>
      </c>
      <c r="D113" s="29">
        <v>136</v>
      </c>
    </row>
    <row r="114" spans="1:4" ht="15" x14ac:dyDescent="0.2">
      <c r="A114" s="25" t="s">
        <v>1444</v>
      </c>
      <c r="B114" s="8" t="s">
        <v>130</v>
      </c>
      <c r="C114" s="8" t="s">
        <v>6</v>
      </c>
      <c r="D114" s="29">
        <v>112</v>
      </c>
    </row>
    <row r="115" spans="1:4" ht="15" x14ac:dyDescent="0.2">
      <c r="A115" s="25" t="s">
        <v>1445</v>
      </c>
      <c r="B115" s="8" t="s">
        <v>132</v>
      </c>
      <c r="C115" s="8" t="s">
        <v>101</v>
      </c>
      <c r="D115" s="29">
        <v>57.5</v>
      </c>
    </row>
    <row r="116" spans="1:4" ht="15" x14ac:dyDescent="0.2">
      <c r="A116" s="25" t="s">
        <v>1446</v>
      </c>
      <c r="B116" s="8" t="s">
        <v>134</v>
      </c>
      <c r="C116" s="8" t="s">
        <v>101</v>
      </c>
      <c r="D116" s="29">
        <v>22</v>
      </c>
    </row>
    <row r="117" spans="1:4" ht="15" x14ac:dyDescent="0.2">
      <c r="A117" s="25" t="s">
        <v>1447</v>
      </c>
      <c r="B117" s="8" t="s">
        <v>136</v>
      </c>
      <c r="C117" s="8" t="s">
        <v>37</v>
      </c>
      <c r="D117" s="29">
        <v>69</v>
      </c>
    </row>
    <row r="118" spans="1:4" ht="15" x14ac:dyDescent="0.2">
      <c r="A118" s="25" t="s">
        <v>1448</v>
      </c>
      <c r="B118" s="8" t="s">
        <v>138</v>
      </c>
      <c r="C118" s="8" t="s">
        <v>37</v>
      </c>
      <c r="D118" s="29">
        <v>58</v>
      </c>
    </row>
    <row r="119" spans="1:4" ht="15" x14ac:dyDescent="0.2">
      <c r="A119" s="25" t="s">
        <v>1449</v>
      </c>
      <c r="B119" s="8" t="s">
        <v>140</v>
      </c>
      <c r="C119" s="8" t="s">
        <v>101</v>
      </c>
      <c r="D119" s="29">
        <v>52</v>
      </c>
    </row>
    <row r="120" spans="1:4" ht="15" x14ac:dyDescent="0.2">
      <c r="A120" s="25" t="s">
        <v>1450</v>
      </c>
      <c r="B120" s="8" t="s">
        <v>142</v>
      </c>
      <c r="C120" s="8" t="s">
        <v>6</v>
      </c>
      <c r="D120" s="29">
        <v>52</v>
      </c>
    </row>
    <row r="121" spans="1:4" ht="15" x14ac:dyDescent="0.2">
      <c r="A121" s="25" t="s">
        <v>1451</v>
      </c>
      <c r="B121" s="8" t="s">
        <v>144</v>
      </c>
      <c r="C121" s="8" t="s">
        <v>6</v>
      </c>
      <c r="D121" s="29">
        <v>19</v>
      </c>
    </row>
    <row r="122" spans="1:4" ht="15" x14ac:dyDescent="0.2">
      <c r="A122" s="25" t="s">
        <v>1452</v>
      </c>
      <c r="B122" s="8" t="s">
        <v>146</v>
      </c>
      <c r="C122" s="8" t="s">
        <v>6</v>
      </c>
      <c r="D122" s="29">
        <v>56</v>
      </c>
    </row>
    <row r="123" spans="1:4" ht="15" x14ac:dyDescent="0.2">
      <c r="A123" s="25" t="s">
        <v>1453</v>
      </c>
      <c r="B123" s="8" t="s">
        <v>148</v>
      </c>
      <c r="C123" s="8" t="s">
        <v>6</v>
      </c>
      <c r="D123" s="29">
        <v>23</v>
      </c>
    </row>
    <row r="124" spans="1:4" ht="15" x14ac:dyDescent="0.2">
      <c r="A124" s="25" t="s">
        <v>1454</v>
      </c>
      <c r="B124" s="8" t="s">
        <v>150</v>
      </c>
      <c r="C124" s="8" t="s">
        <v>6</v>
      </c>
      <c r="D124" s="29">
        <v>18.5</v>
      </c>
    </row>
    <row r="125" spans="1:4" ht="15" x14ac:dyDescent="0.2">
      <c r="A125" s="25" t="s">
        <v>1455</v>
      </c>
      <c r="B125" s="8" t="s">
        <v>152</v>
      </c>
      <c r="C125" s="8" t="s">
        <v>6</v>
      </c>
      <c r="D125" s="29">
        <v>66.5</v>
      </c>
    </row>
    <row r="126" spans="1:4" ht="15" x14ac:dyDescent="0.2">
      <c r="A126" s="25" t="s">
        <v>1456</v>
      </c>
      <c r="B126" s="8" t="s">
        <v>154</v>
      </c>
      <c r="C126" s="8" t="s">
        <v>6</v>
      </c>
      <c r="D126" s="29">
        <v>52</v>
      </c>
    </row>
    <row r="127" spans="1:4" ht="15" x14ac:dyDescent="0.2">
      <c r="A127" s="25" t="s">
        <v>1457</v>
      </c>
      <c r="B127" s="8" t="s">
        <v>156</v>
      </c>
      <c r="C127" s="8" t="s">
        <v>6</v>
      </c>
      <c r="D127" s="29">
        <v>60.5</v>
      </c>
    </row>
    <row r="128" spans="1:4" ht="15" x14ac:dyDescent="0.2">
      <c r="A128" s="25" t="s">
        <v>1458</v>
      </c>
      <c r="B128" s="8" t="s">
        <v>158</v>
      </c>
      <c r="C128" s="8" t="s">
        <v>3</v>
      </c>
      <c r="D128" s="29">
        <v>84</v>
      </c>
    </row>
    <row r="129" spans="1:4" ht="15" x14ac:dyDescent="0.2">
      <c r="A129" s="25" t="s">
        <v>1459</v>
      </c>
      <c r="B129" s="8" t="s">
        <v>160</v>
      </c>
      <c r="C129" s="8" t="s">
        <v>6</v>
      </c>
      <c r="D129" s="29">
        <v>24</v>
      </c>
    </row>
    <row r="130" spans="1:4" ht="15" x14ac:dyDescent="0.2">
      <c r="A130" s="25" t="s">
        <v>1460</v>
      </c>
      <c r="B130" s="8" t="s">
        <v>162</v>
      </c>
      <c r="C130" s="8" t="s">
        <v>12</v>
      </c>
      <c r="D130" s="29">
        <v>55</v>
      </c>
    </row>
    <row r="131" spans="1:4" ht="15" x14ac:dyDescent="0.2">
      <c r="A131" s="25" t="s">
        <v>1461</v>
      </c>
      <c r="B131" s="8" t="s">
        <v>164</v>
      </c>
      <c r="C131" s="8" t="s">
        <v>6</v>
      </c>
      <c r="D131" s="29">
        <v>51</v>
      </c>
    </row>
    <row r="132" spans="1:4" ht="15" x14ac:dyDescent="0.2">
      <c r="A132" s="25" t="s">
        <v>1462</v>
      </c>
      <c r="B132" s="8" t="s">
        <v>166</v>
      </c>
      <c r="C132" s="8" t="s">
        <v>12</v>
      </c>
      <c r="D132" s="29">
        <v>29</v>
      </c>
    </row>
    <row r="133" spans="1:4" ht="15" x14ac:dyDescent="0.2">
      <c r="A133" s="25" t="s">
        <v>1463</v>
      </c>
      <c r="B133" s="8" t="s">
        <v>168</v>
      </c>
      <c r="C133" s="8" t="s">
        <v>3</v>
      </c>
      <c r="D133" s="29">
        <v>27</v>
      </c>
    </row>
    <row r="134" spans="1:4" ht="15" x14ac:dyDescent="0.2">
      <c r="A134" s="25" t="s">
        <v>1464</v>
      </c>
      <c r="B134" s="8" t="s">
        <v>170</v>
      </c>
      <c r="C134" s="8" t="s">
        <v>3</v>
      </c>
      <c r="D134" s="29">
        <v>10.5</v>
      </c>
    </row>
    <row r="135" spans="1:4" ht="15" x14ac:dyDescent="0.2">
      <c r="A135" s="25" t="s">
        <v>1465</v>
      </c>
      <c r="B135" s="8" t="s">
        <v>172</v>
      </c>
      <c r="C135" s="8" t="s">
        <v>37</v>
      </c>
      <c r="D135" s="29">
        <v>33</v>
      </c>
    </row>
    <row r="136" spans="1:4" ht="15" x14ac:dyDescent="0.2">
      <c r="A136" s="25" t="s">
        <v>1466</v>
      </c>
      <c r="B136" s="8" t="s">
        <v>174</v>
      </c>
      <c r="C136" s="8" t="s">
        <v>45</v>
      </c>
      <c r="D136" s="29">
        <v>88</v>
      </c>
    </row>
    <row r="137" spans="1:4" ht="15" x14ac:dyDescent="0.2">
      <c r="A137" s="25" t="s">
        <v>1467</v>
      </c>
      <c r="B137" s="8" t="s">
        <v>176</v>
      </c>
      <c r="C137" s="8" t="s">
        <v>12</v>
      </c>
      <c r="D137" s="29">
        <v>9.6999999999999993</v>
      </c>
    </row>
    <row r="138" spans="1:4" ht="15" x14ac:dyDescent="0.2">
      <c r="A138" s="25" t="s">
        <v>1468</v>
      </c>
      <c r="B138" s="8" t="s">
        <v>178</v>
      </c>
      <c r="C138" s="8" t="s">
        <v>3</v>
      </c>
      <c r="D138" s="29">
        <v>49</v>
      </c>
    </row>
    <row r="139" spans="1:4" ht="15" x14ac:dyDescent="0.2">
      <c r="A139" s="25" t="s">
        <v>1469</v>
      </c>
      <c r="B139" s="8" t="s">
        <v>180</v>
      </c>
      <c r="C139" s="8" t="s">
        <v>6</v>
      </c>
      <c r="D139" s="29">
        <v>42</v>
      </c>
    </row>
    <row r="140" spans="1:4" ht="15" x14ac:dyDescent="0.2">
      <c r="A140" s="25" t="s">
        <v>1470</v>
      </c>
      <c r="B140" s="8" t="s">
        <v>182</v>
      </c>
      <c r="C140" s="8" t="s">
        <v>3</v>
      </c>
      <c r="D140" s="29">
        <v>56</v>
      </c>
    </row>
    <row r="141" spans="1:4" ht="15" x14ac:dyDescent="0.2">
      <c r="A141" s="25" t="s">
        <v>1471</v>
      </c>
      <c r="B141" s="8" t="s">
        <v>184</v>
      </c>
      <c r="C141" s="8" t="s">
        <v>6</v>
      </c>
      <c r="D141" s="29">
        <v>104</v>
      </c>
    </row>
    <row r="142" spans="1:4" ht="15" x14ac:dyDescent="0.2">
      <c r="A142" s="25" t="s">
        <v>1472</v>
      </c>
      <c r="B142" s="8" t="s">
        <v>186</v>
      </c>
      <c r="C142" s="8" t="s">
        <v>6</v>
      </c>
      <c r="D142" s="29">
        <v>98</v>
      </c>
    </row>
    <row r="143" spans="1:4" ht="15" x14ac:dyDescent="0.2">
      <c r="A143" s="25" t="s">
        <v>1473</v>
      </c>
      <c r="B143" s="8" t="s">
        <v>188</v>
      </c>
      <c r="C143" s="8" t="s">
        <v>12</v>
      </c>
      <c r="D143" s="29">
        <v>48</v>
      </c>
    </row>
    <row r="144" spans="1:4" ht="15" x14ac:dyDescent="0.2">
      <c r="A144" s="25" t="s">
        <v>1474</v>
      </c>
      <c r="B144" s="8" t="s">
        <v>190</v>
      </c>
      <c r="C144" s="8" t="s">
        <v>6</v>
      </c>
      <c r="D144" s="29">
        <v>136</v>
      </c>
    </row>
    <row r="145" spans="1:4" ht="15" x14ac:dyDescent="0.2">
      <c r="A145" s="25" t="s">
        <v>1475</v>
      </c>
      <c r="B145" s="8" t="s">
        <v>192</v>
      </c>
      <c r="C145" s="8" t="s">
        <v>6</v>
      </c>
      <c r="D145" s="29">
        <v>142</v>
      </c>
    </row>
    <row r="146" spans="1:4" ht="15" x14ac:dyDescent="0.2">
      <c r="A146" s="25" t="s">
        <v>1476</v>
      </c>
      <c r="B146" s="8" t="s">
        <v>194</v>
      </c>
      <c r="C146" s="8" t="s">
        <v>6</v>
      </c>
      <c r="D146" s="29">
        <v>154</v>
      </c>
    </row>
    <row r="147" spans="1:4" ht="15" x14ac:dyDescent="0.2">
      <c r="A147" s="25" t="s">
        <v>1477</v>
      </c>
      <c r="B147" s="8" t="s">
        <v>196</v>
      </c>
      <c r="C147" s="8" t="s">
        <v>6</v>
      </c>
      <c r="D147" s="29">
        <v>16</v>
      </c>
    </row>
    <row r="148" spans="1:4" ht="15" x14ac:dyDescent="0.2">
      <c r="A148" s="25" t="s">
        <v>1478</v>
      </c>
      <c r="B148" s="8" t="s">
        <v>198</v>
      </c>
      <c r="C148" s="8" t="s">
        <v>6</v>
      </c>
      <c r="D148" s="29">
        <v>118</v>
      </c>
    </row>
    <row r="149" spans="1:4" ht="15" x14ac:dyDescent="0.2">
      <c r="A149" s="25" t="s">
        <v>1479</v>
      </c>
      <c r="B149" s="8" t="s">
        <v>200</v>
      </c>
      <c r="C149" s="8" t="s">
        <v>6</v>
      </c>
      <c r="D149" s="29">
        <v>127</v>
      </c>
    </row>
    <row r="150" spans="1:4" ht="15" x14ac:dyDescent="0.2">
      <c r="A150" s="25" t="s">
        <v>1480</v>
      </c>
      <c r="B150" s="8" t="s">
        <v>202</v>
      </c>
      <c r="C150" s="8" t="s">
        <v>3</v>
      </c>
      <c r="D150" s="29">
        <v>42</v>
      </c>
    </row>
    <row r="151" spans="1:4" ht="15" x14ac:dyDescent="0.2">
      <c r="A151" s="25" t="s">
        <v>1481</v>
      </c>
      <c r="B151" s="8" t="s">
        <v>204</v>
      </c>
      <c r="C151" s="8" t="s">
        <v>6</v>
      </c>
      <c r="D151" s="29">
        <v>43</v>
      </c>
    </row>
    <row r="152" spans="1:4" ht="15" x14ac:dyDescent="0.2">
      <c r="A152" s="25" t="s">
        <v>1482</v>
      </c>
      <c r="B152" s="8" t="s">
        <v>206</v>
      </c>
      <c r="C152" s="8" t="s">
        <v>3</v>
      </c>
      <c r="D152" s="29">
        <v>13.6</v>
      </c>
    </row>
    <row r="153" spans="1:4" ht="15" x14ac:dyDescent="0.2">
      <c r="A153" s="25" t="s">
        <v>1483</v>
      </c>
      <c r="B153" s="8" t="s">
        <v>208</v>
      </c>
      <c r="C153" s="8" t="s">
        <v>6</v>
      </c>
      <c r="D153" s="29">
        <v>11</v>
      </c>
    </row>
    <row r="154" spans="1:4" ht="15" x14ac:dyDescent="0.2">
      <c r="A154" s="25" t="s">
        <v>1484</v>
      </c>
      <c r="B154" s="8" t="s">
        <v>210</v>
      </c>
      <c r="C154" s="8" t="s">
        <v>6</v>
      </c>
      <c r="D154" s="29">
        <v>80</v>
      </c>
    </row>
    <row r="155" spans="1:4" ht="15" x14ac:dyDescent="0.2">
      <c r="A155" s="25" t="s">
        <v>1485</v>
      </c>
      <c r="B155" s="8" t="s">
        <v>212</v>
      </c>
      <c r="C155" s="8" t="s">
        <v>6</v>
      </c>
      <c r="D155" s="29">
        <v>26</v>
      </c>
    </row>
    <row r="156" spans="1:4" ht="15" x14ac:dyDescent="0.2">
      <c r="A156" s="25" t="s">
        <v>1486</v>
      </c>
      <c r="B156" s="8" t="s">
        <v>214</v>
      </c>
      <c r="C156" s="8" t="s">
        <v>6</v>
      </c>
      <c r="D156" s="29">
        <v>23</v>
      </c>
    </row>
    <row r="157" spans="1:4" ht="15" x14ac:dyDescent="0.2">
      <c r="A157" s="25" t="s">
        <v>1487</v>
      </c>
      <c r="B157" s="8" t="s">
        <v>216</v>
      </c>
      <c r="C157" s="8" t="s">
        <v>111</v>
      </c>
      <c r="D157" s="30">
        <v>34</v>
      </c>
    </row>
    <row r="158" spans="1:4" ht="15" x14ac:dyDescent="0.2">
      <c r="A158" s="25" t="s">
        <v>1488</v>
      </c>
      <c r="B158" s="8" t="s">
        <v>114</v>
      </c>
      <c r="C158" s="8" t="s">
        <v>6</v>
      </c>
      <c r="D158" s="10">
        <v>56</v>
      </c>
    </row>
    <row r="159" spans="1:4" ht="15" x14ac:dyDescent="0.2">
      <c r="A159" s="25" t="s">
        <v>1489</v>
      </c>
      <c r="B159" s="8" t="s">
        <v>116</v>
      </c>
      <c r="C159" s="8" t="s">
        <v>3</v>
      </c>
      <c r="D159" s="10">
        <v>305</v>
      </c>
    </row>
    <row r="160" spans="1:4" ht="15" x14ac:dyDescent="0.2">
      <c r="A160" s="25" t="s">
        <v>1490</v>
      </c>
      <c r="B160" s="8" t="s">
        <v>118</v>
      </c>
      <c r="C160" s="8" t="s">
        <v>6</v>
      </c>
      <c r="D160" s="10">
        <v>63</v>
      </c>
    </row>
    <row r="161" spans="1:4" ht="15" x14ac:dyDescent="0.2">
      <c r="A161" s="25" t="s">
        <v>1491</v>
      </c>
      <c r="B161" s="8" t="s">
        <v>120</v>
      </c>
      <c r="C161" s="8" t="s">
        <v>6</v>
      </c>
      <c r="D161" s="10">
        <v>151</v>
      </c>
    </row>
    <row r="162" spans="1:4" ht="15" x14ac:dyDescent="0.2">
      <c r="A162" s="25" t="s">
        <v>1492</v>
      </c>
      <c r="B162" s="8" t="s">
        <v>122</v>
      </c>
      <c r="C162" s="8" t="s">
        <v>123</v>
      </c>
      <c r="D162" s="10">
        <v>15.5</v>
      </c>
    </row>
    <row r="163" spans="1:4" ht="15" x14ac:dyDescent="0.2">
      <c r="A163" s="25" t="s">
        <v>1493</v>
      </c>
      <c r="B163" s="8" t="s">
        <v>125</v>
      </c>
      <c r="C163" s="8" t="s">
        <v>3</v>
      </c>
      <c r="D163" s="10">
        <v>23.5</v>
      </c>
    </row>
    <row r="164" spans="1:4" ht="15" x14ac:dyDescent="0.2">
      <c r="A164" s="25" t="s">
        <v>1494</v>
      </c>
      <c r="B164" s="8" t="s">
        <v>127</v>
      </c>
      <c r="C164" s="8" t="s">
        <v>6</v>
      </c>
      <c r="D164" s="10">
        <v>39</v>
      </c>
    </row>
    <row r="165" spans="1:4" ht="15" x14ac:dyDescent="0.2">
      <c r="A165" s="25" t="s">
        <v>1495</v>
      </c>
      <c r="B165" s="8" t="s">
        <v>129</v>
      </c>
      <c r="C165" s="8" t="s">
        <v>3</v>
      </c>
      <c r="D165" s="10">
        <v>43</v>
      </c>
    </row>
    <row r="166" spans="1:4" ht="15" x14ac:dyDescent="0.2">
      <c r="A166" s="25" t="s">
        <v>1496</v>
      </c>
      <c r="B166" s="8" t="s">
        <v>131</v>
      </c>
      <c r="C166" s="8" t="s">
        <v>3</v>
      </c>
      <c r="D166" s="10">
        <v>55</v>
      </c>
    </row>
    <row r="167" spans="1:4" ht="15" x14ac:dyDescent="0.2">
      <c r="A167" s="25" t="s">
        <v>1497</v>
      </c>
      <c r="B167" s="8" t="s">
        <v>133</v>
      </c>
      <c r="C167" s="8" t="s">
        <v>6</v>
      </c>
      <c r="D167" s="10">
        <v>22</v>
      </c>
    </row>
    <row r="168" spans="1:4" ht="15" x14ac:dyDescent="0.2">
      <c r="A168" s="25" t="s">
        <v>1498</v>
      </c>
      <c r="B168" s="8" t="s">
        <v>135</v>
      </c>
      <c r="C168" s="8" t="s">
        <v>3</v>
      </c>
      <c r="D168" s="10">
        <v>29</v>
      </c>
    </row>
    <row r="169" spans="1:4" ht="15" x14ac:dyDescent="0.2">
      <c r="A169" s="25" t="s">
        <v>1499</v>
      </c>
      <c r="B169" s="8" t="s">
        <v>137</v>
      </c>
      <c r="C169" s="8" t="s">
        <v>3</v>
      </c>
      <c r="D169" s="10">
        <v>39.5</v>
      </c>
    </row>
    <row r="170" spans="1:4" ht="15" x14ac:dyDescent="0.2">
      <c r="A170" s="25" t="s">
        <v>1500</v>
      </c>
      <c r="B170" s="8" t="s">
        <v>139</v>
      </c>
      <c r="C170" s="8" t="s">
        <v>3</v>
      </c>
      <c r="D170" s="10">
        <v>39.5</v>
      </c>
    </row>
    <row r="171" spans="1:4" ht="15" x14ac:dyDescent="0.2">
      <c r="A171" s="25" t="s">
        <v>1501</v>
      </c>
      <c r="B171" s="8" t="s">
        <v>141</v>
      </c>
      <c r="C171" s="8" t="s">
        <v>6</v>
      </c>
      <c r="D171" s="10">
        <v>175</v>
      </c>
    </row>
    <row r="172" spans="1:4" ht="15" x14ac:dyDescent="0.2">
      <c r="A172" s="25" t="s">
        <v>1502</v>
      </c>
      <c r="B172" s="8" t="s">
        <v>143</v>
      </c>
      <c r="C172" s="8" t="s">
        <v>3</v>
      </c>
      <c r="D172" s="10">
        <v>138</v>
      </c>
    </row>
    <row r="173" spans="1:4" ht="15" x14ac:dyDescent="0.2">
      <c r="A173" s="25" t="s">
        <v>1503</v>
      </c>
      <c r="B173" s="8" t="s">
        <v>145</v>
      </c>
      <c r="C173" s="8" t="s">
        <v>3</v>
      </c>
      <c r="D173" s="10">
        <v>26</v>
      </c>
    </row>
    <row r="174" spans="1:4" ht="15" x14ac:dyDescent="0.2">
      <c r="A174" s="25" t="s">
        <v>1504</v>
      </c>
      <c r="B174" s="8" t="s">
        <v>147</v>
      </c>
      <c r="C174" s="8" t="s">
        <v>6</v>
      </c>
      <c r="D174" s="10">
        <v>7.5</v>
      </c>
    </row>
    <row r="175" spans="1:4" ht="15" x14ac:dyDescent="0.2">
      <c r="A175" s="25" t="s">
        <v>1505</v>
      </c>
      <c r="B175" s="8" t="s">
        <v>149</v>
      </c>
      <c r="C175" s="8" t="s">
        <v>6</v>
      </c>
      <c r="D175" s="10">
        <v>64</v>
      </c>
    </row>
    <row r="176" spans="1:4" ht="15" x14ac:dyDescent="0.2">
      <c r="A176" s="25" t="s">
        <v>1506</v>
      </c>
      <c r="B176" s="8" t="s">
        <v>151</v>
      </c>
      <c r="C176" s="8" t="s">
        <v>6</v>
      </c>
      <c r="D176" s="10">
        <v>90</v>
      </c>
    </row>
    <row r="177" spans="1:4" ht="15" x14ac:dyDescent="0.2">
      <c r="A177" s="25" t="s">
        <v>1507</v>
      </c>
      <c r="B177" s="8" t="s">
        <v>153</v>
      </c>
      <c r="C177" s="8" t="s">
        <v>6</v>
      </c>
      <c r="D177" s="10">
        <v>30</v>
      </c>
    </row>
    <row r="178" spans="1:4" ht="15" x14ac:dyDescent="0.2">
      <c r="A178" s="25" t="s">
        <v>1508</v>
      </c>
      <c r="B178" s="8" t="s">
        <v>155</v>
      </c>
      <c r="C178" s="8" t="s">
        <v>3</v>
      </c>
      <c r="D178" s="10">
        <v>65</v>
      </c>
    </row>
    <row r="179" spans="1:4" ht="15" x14ac:dyDescent="0.2">
      <c r="A179" s="25" t="s">
        <v>1509</v>
      </c>
      <c r="B179" s="8" t="s">
        <v>157</v>
      </c>
      <c r="C179" s="8" t="s">
        <v>37</v>
      </c>
      <c r="D179" s="10">
        <v>50</v>
      </c>
    </row>
    <row r="180" spans="1:4" ht="15" x14ac:dyDescent="0.2">
      <c r="A180" s="25" t="s">
        <v>1510</v>
      </c>
      <c r="B180" s="8" t="s">
        <v>159</v>
      </c>
      <c r="C180" s="8" t="s">
        <v>6</v>
      </c>
      <c r="D180" s="10">
        <v>33</v>
      </c>
    </row>
    <row r="181" spans="1:4" ht="15" x14ac:dyDescent="0.2">
      <c r="A181" s="25" t="s">
        <v>1511</v>
      </c>
      <c r="B181" s="8" t="s">
        <v>161</v>
      </c>
      <c r="C181" s="8" t="s">
        <v>6</v>
      </c>
      <c r="D181" s="10">
        <v>31.5</v>
      </c>
    </row>
    <row r="182" spans="1:4" ht="15" x14ac:dyDescent="0.2">
      <c r="A182" s="25" t="s">
        <v>1512</v>
      </c>
      <c r="B182" s="8" t="s">
        <v>163</v>
      </c>
      <c r="C182" s="8" t="s">
        <v>6</v>
      </c>
      <c r="D182" s="10">
        <v>23</v>
      </c>
    </row>
    <row r="183" spans="1:4" ht="15" x14ac:dyDescent="0.2">
      <c r="A183" s="25" t="s">
        <v>1513</v>
      </c>
      <c r="B183" s="8" t="s">
        <v>165</v>
      </c>
      <c r="C183" s="8" t="s">
        <v>3</v>
      </c>
      <c r="D183" s="10">
        <v>8.5</v>
      </c>
    </row>
    <row r="184" spans="1:4" ht="15" x14ac:dyDescent="0.2">
      <c r="A184" s="25" t="s">
        <v>1514</v>
      </c>
      <c r="B184" s="8" t="s">
        <v>167</v>
      </c>
      <c r="C184" s="8" t="s">
        <v>3</v>
      </c>
      <c r="D184" s="10">
        <v>40</v>
      </c>
    </row>
    <row r="185" spans="1:4" ht="15" x14ac:dyDescent="0.2">
      <c r="A185" s="25" t="s">
        <v>1515</v>
      </c>
      <c r="B185" s="8" t="s">
        <v>169</v>
      </c>
      <c r="C185" s="8" t="s">
        <v>6</v>
      </c>
      <c r="D185" s="10">
        <v>13.5</v>
      </c>
    </row>
    <row r="186" spans="1:4" ht="15" x14ac:dyDescent="0.2">
      <c r="A186" s="25" t="s">
        <v>1516</v>
      </c>
      <c r="B186" s="8" t="s">
        <v>171</v>
      </c>
      <c r="C186" s="8" t="s">
        <v>3</v>
      </c>
      <c r="D186" s="10">
        <v>30</v>
      </c>
    </row>
    <row r="187" spans="1:4" ht="15" x14ac:dyDescent="0.2">
      <c r="A187" s="25" t="s">
        <v>1517</v>
      </c>
      <c r="B187" s="8" t="s">
        <v>173</v>
      </c>
      <c r="C187" s="8" t="s">
        <v>6</v>
      </c>
      <c r="D187" s="10">
        <v>11</v>
      </c>
    </row>
    <row r="188" spans="1:4" ht="15" x14ac:dyDescent="0.2">
      <c r="A188" s="25" t="s">
        <v>1518</v>
      </c>
      <c r="B188" s="8" t="s">
        <v>175</v>
      </c>
      <c r="C188" s="8" t="s">
        <v>6</v>
      </c>
      <c r="D188" s="10">
        <v>12</v>
      </c>
    </row>
    <row r="189" spans="1:4" ht="15" x14ac:dyDescent="0.2">
      <c r="A189" s="25" t="s">
        <v>1519</v>
      </c>
      <c r="B189" s="8" t="s">
        <v>177</v>
      </c>
      <c r="C189" s="8" t="s">
        <v>6</v>
      </c>
      <c r="D189" s="10">
        <v>17</v>
      </c>
    </row>
    <row r="190" spans="1:4" ht="15" x14ac:dyDescent="0.2">
      <c r="A190" s="25" t="s">
        <v>1520</v>
      </c>
      <c r="B190" s="8" t="s">
        <v>179</v>
      </c>
      <c r="C190" s="8" t="s">
        <v>6</v>
      </c>
      <c r="D190" s="10">
        <v>13.5</v>
      </c>
    </row>
    <row r="191" spans="1:4" ht="15" x14ac:dyDescent="0.2">
      <c r="A191" s="25" t="s">
        <v>1521</v>
      </c>
      <c r="B191" s="8" t="s">
        <v>181</v>
      </c>
      <c r="C191" s="8" t="s">
        <v>37</v>
      </c>
      <c r="D191" s="10">
        <v>80</v>
      </c>
    </row>
    <row r="192" spans="1:4" ht="15" x14ac:dyDescent="0.2">
      <c r="A192" s="25" t="s">
        <v>1522</v>
      </c>
      <c r="B192" s="8" t="s">
        <v>183</v>
      </c>
      <c r="C192" s="8" t="s">
        <v>45</v>
      </c>
      <c r="D192" s="10">
        <v>14</v>
      </c>
    </row>
    <row r="193" spans="1:4" ht="15" x14ac:dyDescent="0.2">
      <c r="A193" s="25" t="s">
        <v>1523</v>
      </c>
      <c r="B193" s="8" t="s">
        <v>185</v>
      </c>
      <c r="C193" s="8" t="s">
        <v>6</v>
      </c>
      <c r="D193" s="10">
        <v>55.9</v>
      </c>
    </row>
    <row r="194" spans="1:4" ht="15" x14ac:dyDescent="0.2">
      <c r="A194" s="25" t="s">
        <v>1524</v>
      </c>
      <c r="B194" s="8" t="s">
        <v>187</v>
      </c>
      <c r="C194" s="8" t="s">
        <v>3</v>
      </c>
      <c r="D194" s="10">
        <v>18</v>
      </c>
    </row>
    <row r="195" spans="1:4" ht="15" x14ac:dyDescent="0.2">
      <c r="A195" s="25" t="s">
        <v>1525</v>
      </c>
      <c r="B195" s="8" t="s">
        <v>189</v>
      </c>
      <c r="C195" s="8" t="s">
        <v>12</v>
      </c>
      <c r="D195" s="10">
        <v>15</v>
      </c>
    </row>
    <row r="196" spans="1:4" ht="15" x14ac:dyDescent="0.2">
      <c r="A196" s="25" t="s">
        <v>1526</v>
      </c>
      <c r="B196" s="8" t="s">
        <v>191</v>
      </c>
      <c r="C196" s="8" t="s">
        <v>3</v>
      </c>
      <c r="D196" s="10">
        <v>24</v>
      </c>
    </row>
    <row r="197" spans="1:4" ht="15" x14ac:dyDescent="0.2">
      <c r="A197" s="25" t="s">
        <v>1527</v>
      </c>
      <c r="B197" s="8" t="s">
        <v>193</v>
      </c>
      <c r="C197" s="8" t="s">
        <v>3</v>
      </c>
      <c r="D197" s="10">
        <v>38</v>
      </c>
    </row>
    <row r="198" spans="1:4" ht="15" x14ac:dyDescent="0.2">
      <c r="A198" s="25" t="s">
        <v>1528</v>
      </c>
      <c r="B198" s="8" t="s">
        <v>195</v>
      </c>
      <c r="C198" s="8" t="s">
        <v>6</v>
      </c>
      <c r="D198" s="10">
        <v>32</v>
      </c>
    </row>
    <row r="199" spans="1:4" ht="15" x14ac:dyDescent="0.2">
      <c r="A199" s="25" t="s">
        <v>1529</v>
      </c>
      <c r="B199" s="8" t="s">
        <v>197</v>
      </c>
      <c r="C199" s="8" t="s">
        <v>6</v>
      </c>
      <c r="D199" s="10">
        <v>30</v>
      </c>
    </row>
    <row r="200" spans="1:4" ht="15" x14ac:dyDescent="0.2">
      <c r="A200" s="25" t="s">
        <v>1530</v>
      </c>
      <c r="B200" s="8" t="s">
        <v>199</v>
      </c>
      <c r="C200" s="8" t="s">
        <v>6</v>
      </c>
      <c r="D200" s="10">
        <v>64</v>
      </c>
    </row>
    <row r="201" spans="1:4" ht="15" x14ac:dyDescent="0.2">
      <c r="A201" s="25" t="s">
        <v>1531</v>
      </c>
      <c r="B201" s="8" t="s">
        <v>201</v>
      </c>
      <c r="C201" s="8" t="s">
        <v>3</v>
      </c>
      <c r="D201" s="10">
        <v>30</v>
      </c>
    </row>
    <row r="202" spans="1:4" ht="15" x14ac:dyDescent="0.2">
      <c r="A202" s="25" t="s">
        <v>1532</v>
      </c>
      <c r="B202" s="8" t="s">
        <v>203</v>
      </c>
      <c r="C202" s="8" t="s">
        <v>3</v>
      </c>
      <c r="D202" s="10">
        <v>123</v>
      </c>
    </row>
    <row r="203" spans="1:4" ht="15" x14ac:dyDescent="0.2">
      <c r="A203" s="25" t="s">
        <v>1533</v>
      </c>
      <c r="B203" s="8" t="s">
        <v>205</v>
      </c>
      <c r="C203" s="8" t="s">
        <v>6</v>
      </c>
      <c r="D203" s="10">
        <v>67</v>
      </c>
    </row>
    <row r="204" spans="1:4" ht="15" x14ac:dyDescent="0.2">
      <c r="A204" s="25" t="s">
        <v>1534</v>
      </c>
      <c r="B204" s="8" t="s">
        <v>207</v>
      </c>
      <c r="C204" s="8" t="s">
        <v>6</v>
      </c>
      <c r="D204" s="10">
        <v>14</v>
      </c>
    </row>
    <row r="205" spans="1:4" ht="15" x14ac:dyDescent="0.2">
      <c r="A205" s="25" t="s">
        <v>1535</v>
      </c>
      <c r="B205" s="8" t="s">
        <v>209</v>
      </c>
      <c r="C205" s="8" t="s">
        <v>3</v>
      </c>
      <c r="D205" s="10">
        <v>34.200000000000003</v>
      </c>
    </row>
    <row r="206" spans="1:4" ht="15" x14ac:dyDescent="0.2">
      <c r="A206" s="25" t="s">
        <v>1536</v>
      </c>
      <c r="B206" s="8" t="s">
        <v>211</v>
      </c>
      <c r="C206" s="8" t="s">
        <v>3</v>
      </c>
      <c r="D206" s="10">
        <v>23</v>
      </c>
    </row>
    <row r="207" spans="1:4" ht="15" x14ac:dyDescent="0.2">
      <c r="A207" s="25" t="s">
        <v>1537</v>
      </c>
      <c r="B207" s="8" t="s">
        <v>213</v>
      </c>
      <c r="C207" s="8" t="s">
        <v>6</v>
      </c>
      <c r="D207" s="10">
        <v>35</v>
      </c>
    </row>
    <row r="208" spans="1:4" ht="15" x14ac:dyDescent="0.2">
      <c r="A208" s="25" t="s">
        <v>1538</v>
      </c>
      <c r="B208" s="8" t="s">
        <v>215</v>
      </c>
      <c r="C208" s="8" t="s">
        <v>6</v>
      </c>
      <c r="D208" s="10">
        <v>25</v>
      </c>
    </row>
    <row r="209" spans="1:4" ht="15" x14ac:dyDescent="0.2">
      <c r="A209" s="25" t="s">
        <v>1539</v>
      </c>
      <c r="B209" s="8" t="s">
        <v>217</v>
      </c>
      <c r="C209" s="8" t="s">
        <v>218</v>
      </c>
      <c r="D209" s="16">
        <v>46</v>
      </c>
    </row>
    <row r="210" spans="1:4" ht="15" x14ac:dyDescent="0.2">
      <c r="A210" s="25" t="s">
        <v>1540</v>
      </c>
      <c r="B210" s="8" t="s">
        <v>219</v>
      </c>
      <c r="C210" s="8" t="s">
        <v>12</v>
      </c>
      <c r="D210" s="29">
        <v>44</v>
      </c>
    </row>
    <row r="211" spans="1:4" ht="15" x14ac:dyDescent="0.2">
      <c r="A211" s="25" t="s">
        <v>1541</v>
      </c>
      <c r="B211" s="8" t="s">
        <v>221</v>
      </c>
      <c r="C211" s="8" t="s">
        <v>3</v>
      </c>
      <c r="D211" s="29">
        <v>27</v>
      </c>
    </row>
    <row r="212" spans="1:4" ht="15" x14ac:dyDescent="0.2">
      <c r="A212" s="25" t="s">
        <v>1542</v>
      </c>
      <c r="B212" s="8" t="s">
        <v>223</v>
      </c>
      <c r="C212" s="8" t="s">
        <v>6</v>
      </c>
      <c r="D212" s="29">
        <v>19</v>
      </c>
    </row>
    <row r="213" spans="1:4" ht="15" x14ac:dyDescent="0.2">
      <c r="A213" s="25" t="s">
        <v>1543</v>
      </c>
      <c r="B213" s="8" t="s">
        <v>225</v>
      </c>
      <c r="C213" s="8" t="s">
        <v>6</v>
      </c>
      <c r="D213" s="29">
        <v>39</v>
      </c>
    </row>
    <row r="214" spans="1:4" ht="15" x14ac:dyDescent="0.2">
      <c r="A214" s="25" t="s">
        <v>1544</v>
      </c>
      <c r="B214" s="8" t="s">
        <v>228</v>
      </c>
      <c r="C214" s="8" t="s">
        <v>101</v>
      </c>
      <c r="D214" s="29">
        <v>21.5</v>
      </c>
    </row>
    <row r="215" spans="1:4" ht="15" x14ac:dyDescent="0.2">
      <c r="A215" s="25" t="s">
        <v>1545</v>
      </c>
      <c r="B215" s="8" t="s">
        <v>230</v>
      </c>
      <c r="C215" s="8" t="s">
        <v>6</v>
      </c>
      <c r="D215" s="29">
        <v>46</v>
      </c>
    </row>
    <row r="216" spans="1:4" ht="15" x14ac:dyDescent="0.2">
      <c r="A216" s="25" t="s">
        <v>1546</v>
      </c>
      <c r="B216" s="8" t="s">
        <v>232</v>
      </c>
      <c r="C216" s="8" t="s">
        <v>6</v>
      </c>
      <c r="D216" s="29">
        <v>10</v>
      </c>
    </row>
    <row r="217" spans="1:4" ht="15" x14ac:dyDescent="0.2">
      <c r="A217" s="25" t="s">
        <v>1547</v>
      </c>
      <c r="B217" s="8" t="s">
        <v>234</v>
      </c>
      <c r="C217" s="8" t="s">
        <v>6</v>
      </c>
      <c r="D217" s="29">
        <v>38</v>
      </c>
    </row>
    <row r="218" spans="1:4" ht="15" x14ac:dyDescent="0.2">
      <c r="A218" s="25" t="s">
        <v>1548</v>
      </c>
      <c r="B218" s="8" t="s">
        <v>236</v>
      </c>
      <c r="C218" s="8" t="s">
        <v>3</v>
      </c>
      <c r="D218" s="29">
        <v>8</v>
      </c>
    </row>
    <row r="219" spans="1:4" ht="15" x14ac:dyDescent="0.2">
      <c r="A219" s="25" t="s">
        <v>1549</v>
      </c>
      <c r="B219" s="8" t="s">
        <v>238</v>
      </c>
      <c r="C219" s="8" t="s">
        <v>6</v>
      </c>
      <c r="D219" s="29">
        <v>50</v>
      </c>
    </row>
    <row r="220" spans="1:4" ht="15" x14ac:dyDescent="0.2">
      <c r="A220" s="25" t="s">
        <v>1550</v>
      </c>
      <c r="B220" s="8" t="s">
        <v>240</v>
      </c>
      <c r="C220" s="8" t="s">
        <v>3</v>
      </c>
      <c r="D220" s="29">
        <v>6.2</v>
      </c>
    </row>
    <row r="221" spans="1:4" ht="15" x14ac:dyDescent="0.2">
      <c r="A221" s="25" t="s">
        <v>1551</v>
      </c>
      <c r="B221" s="8" t="s">
        <v>242</v>
      </c>
      <c r="C221" s="8" t="s">
        <v>6</v>
      </c>
      <c r="D221" s="29">
        <v>25</v>
      </c>
    </row>
    <row r="222" spans="1:4" ht="15" x14ac:dyDescent="0.2">
      <c r="A222" s="25" t="s">
        <v>1552</v>
      </c>
      <c r="B222" s="8" t="s">
        <v>244</v>
      </c>
      <c r="C222" s="8" t="s">
        <v>6</v>
      </c>
      <c r="D222" s="29">
        <v>35</v>
      </c>
    </row>
    <row r="223" spans="1:4" ht="15" x14ac:dyDescent="0.2">
      <c r="A223" s="25" t="s">
        <v>1553</v>
      </c>
      <c r="B223" s="8" t="s">
        <v>246</v>
      </c>
      <c r="C223" s="8" t="s">
        <v>6</v>
      </c>
      <c r="D223" s="29">
        <v>95</v>
      </c>
    </row>
    <row r="224" spans="1:4" ht="15" x14ac:dyDescent="0.2">
      <c r="A224" s="25" t="s">
        <v>1554</v>
      </c>
      <c r="B224" s="8" t="s">
        <v>248</v>
      </c>
      <c r="C224" s="8" t="s">
        <v>6</v>
      </c>
      <c r="D224" s="29">
        <v>125</v>
      </c>
    </row>
    <row r="225" spans="1:4" ht="15" x14ac:dyDescent="0.2">
      <c r="A225" s="25" t="s">
        <v>1555</v>
      </c>
      <c r="B225" s="8" t="s">
        <v>250</v>
      </c>
      <c r="C225" s="8" t="s">
        <v>6</v>
      </c>
      <c r="D225" s="29">
        <v>15</v>
      </c>
    </row>
    <row r="226" spans="1:4" ht="15" x14ac:dyDescent="0.2">
      <c r="A226" s="25" t="s">
        <v>1556</v>
      </c>
      <c r="B226" s="8" t="s">
        <v>252</v>
      </c>
      <c r="C226" s="8" t="s">
        <v>6</v>
      </c>
      <c r="D226" s="29">
        <v>21.8</v>
      </c>
    </row>
    <row r="227" spans="1:4" ht="15" x14ac:dyDescent="0.2">
      <c r="A227" s="25" t="s">
        <v>1557</v>
      </c>
      <c r="B227" s="8" t="s">
        <v>254</v>
      </c>
      <c r="C227" s="8" t="s">
        <v>6</v>
      </c>
      <c r="D227" s="29">
        <v>35</v>
      </c>
    </row>
    <row r="228" spans="1:4" ht="15" x14ac:dyDescent="0.2">
      <c r="A228" s="25" t="s">
        <v>1558</v>
      </c>
      <c r="B228" s="8" t="s">
        <v>256</v>
      </c>
      <c r="C228" s="8" t="s">
        <v>6</v>
      </c>
      <c r="D228" s="29">
        <v>29</v>
      </c>
    </row>
    <row r="229" spans="1:4" ht="15" x14ac:dyDescent="0.2">
      <c r="A229" s="25" t="s">
        <v>1559</v>
      </c>
      <c r="B229" s="8" t="s">
        <v>258</v>
      </c>
      <c r="C229" s="8" t="s">
        <v>6</v>
      </c>
      <c r="D229" s="29">
        <v>40</v>
      </c>
    </row>
    <row r="230" spans="1:4" ht="15" x14ac:dyDescent="0.2">
      <c r="A230" s="25" t="s">
        <v>1560</v>
      </c>
      <c r="B230" s="8" t="s">
        <v>260</v>
      </c>
      <c r="C230" s="8" t="s">
        <v>6</v>
      </c>
      <c r="D230" s="29">
        <v>16</v>
      </c>
    </row>
    <row r="231" spans="1:4" ht="15" x14ac:dyDescent="0.2">
      <c r="A231" s="25" t="s">
        <v>1561</v>
      </c>
      <c r="B231" s="8" t="s">
        <v>262</v>
      </c>
      <c r="C231" s="8" t="s">
        <v>6</v>
      </c>
      <c r="D231" s="29">
        <v>36</v>
      </c>
    </row>
    <row r="232" spans="1:4" ht="15" x14ac:dyDescent="0.2">
      <c r="A232" s="25" t="s">
        <v>1562</v>
      </c>
      <c r="B232" s="8" t="s">
        <v>264</v>
      </c>
      <c r="C232" s="8" t="s">
        <v>6</v>
      </c>
      <c r="D232" s="29">
        <v>16</v>
      </c>
    </row>
    <row r="233" spans="1:4" ht="15" x14ac:dyDescent="0.2">
      <c r="A233" s="25" t="s">
        <v>1563</v>
      </c>
      <c r="B233" s="8" t="s">
        <v>266</v>
      </c>
      <c r="C233" s="8" t="s">
        <v>6</v>
      </c>
      <c r="D233" s="29">
        <v>20</v>
      </c>
    </row>
    <row r="234" spans="1:4" ht="15" x14ac:dyDescent="0.2">
      <c r="A234" s="25" t="s">
        <v>1564</v>
      </c>
      <c r="B234" s="8" t="s">
        <v>268</v>
      </c>
      <c r="C234" s="8" t="s">
        <v>6</v>
      </c>
      <c r="D234" s="29">
        <v>29</v>
      </c>
    </row>
    <row r="235" spans="1:4" ht="15" x14ac:dyDescent="0.2">
      <c r="A235" s="25" t="s">
        <v>1565</v>
      </c>
      <c r="B235" s="8" t="s">
        <v>270</v>
      </c>
      <c r="C235" s="8" t="s">
        <v>6</v>
      </c>
      <c r="D235" s="29">
        <v>26.5</v>
      </c>
    </row>
    <row r="236" spans="1:4" ht="15" x14ac:dyDescent="0.2">
      <c r="A236" s="25" t="s">
        <v>1566</v>
      </c>
      <c r="B236" s="8" t="s">
        <v>272</v>
      </c>
      <c r="C236" s="8" t="s">
        <v>6</v>
      </c>
      <c r="D236" s="29">
        <v>18</v>
      </c>
    </row>
    <row r="237" spans="1:4" ht="15" x14ac:dyDescent="0.2">
      <c r="A237" s="25" t="s">
        <v>1567</v>
      </c>
      <c r="B237" s="8" t="s">
        <v>274</v>
      </c>
      <c r="C237" s="8" t="s">
        <v>6</v>
      </c>
      <c r="D237" s="29">
        <v>26</v>
      </c>
    </row>
    <row r="238" spans="1:4" ht="15" x14ac:dyDescent="0.2">
      <c r="A238" s="25" t="s">
        <v>1568</v>
      </c>
      <c r="B238" s="8" t="s">
        <v>276</v>
      </c>
      <c r="C238" s="8" t="s">
        <v>6</v>
      </c>
      <c r="D238" s="29">
        <v>44</v>
      </c>
    </row>
    <row r="239" spans="1:4" ht="15" x14ac:dyDescent="0.2">
      <c r="A239" s="25" t="s">
        <v>1569</v>
      </c>
      <c r="B239" s="8" t="s">
        <v>278</v>
      </c>
      <c r="C239" s="8" t="s">
        <v>6</v>
      </c>
      <c r="D239" s="29">
        <v>36</v>
      </c>
    </row>
    <row r="240" spans="1:4" ht="15" x14ac:dyDescent="0.2">
      <c r="A240" s="25" t="s">
        <v>1570</v>
      </c>
      <c r="B240" s="8" t="s">
        <v>280</v>
      </c>
      <c r="C240" s="8" t="s">
        <v>6</v>
      </c>
      <c r="D240" s="29">
        <v>312</v>
      </c>
    </row>
    <row r="241" spans="1:4" ht="15" x14ac:dyDescent="0.2">
      <c r="A241" s="25" t="s">
        <v>1571</v>
      </c>
      <c r="B241" s="8" t="s">
        <v>282</v>
      </c>
      <c r="C241" s="8" t="s">
        <v>6</v>
      </c>
      <c r="D241" s="29">
        <v>42</v>
      </c>
    </row>
    <row r="242" spans="1:4" ht="15" x14ac:dyDescent="0.2">
      <c r="A242" s="25" t="s">
        <v>1572</v>
      </c>
      <c r="B242" s="8" t="s">
        <v>284</v>
      </c>
      <c r="C242" s="8" t="s">
        <v>6</v>
      </c>
      <c r="D242" s="29">
        <v>38</v>
      </c>
    </row>
    <row r="243" spans="1:4" ht="15" x14ac:dyDescent="0.2">
      <c r="A243" s="25" t="s">
        <v>1573</v>
      </c>
      <c r="B243" s="8" t="s">
        <v>286</v>
      </c>
      <c r="C243" s="8" t="s">
        <v>6</v>
      </c>
      <c r="D243" s="29">
        <v>22.5</v>
      </c>
    </row>
    <row r="244" spans="1:4" ht="15" x14ac:dyDescent="0.2">
      <c r="A244" s="25" t="s">
        <v>1574</v>
      </c>
      <c r="B244" s="8" t="s">
        <v>288</v>
      </c>
      <c r="C244" s="8" t="s">
        <v>6</v>
      </c>
      <c r="D244" s="29">
        <v>3.8</v>
      </c>
    </row>
    <row r="245" spans="1:4" ht="15" x14ac:dyDescent="0.2">
      <c r="A245" s="25" t="s">
        <v>1575</v>
      </c>
      <c r="B245" s="8" t="s">
        <v>290</v>
      </c>
      <c r="C245" s="8" t="s">
        <v>3</v>
      </c>
      <c r="D245" s="29">
        <v>29</v>
      </c>
    </row>
    <row r="246" spans="1:4" ht="15" x14ac:dyDescent="0.2">
      <c r="A246" s="25" t="s">
        <v>1576</v>
      </c>
      <c r="B246" s="8" t="s">
        <v>292</v>
      </c>
      <c r="C246" s="8" t="s">
        <v>3</v>
      </c>
      <c r="D246" s="29">
        <v>58</v>
      </c>
    </row>
    <row r="247" spans="1:4" ht="15" x14ac:dyDescent="0.2">
      <c r="A247" s="25" t="s">
        <v>1577</v>
      </c>
      <c r="B247" s="8" t="s">
        <v>294</v>
      </c>
      <c r="C247" s="8" t="s">
        <v>6</v>
      </c>
      <c r="D247" s="29">
        <v>56</v>
      </c>
    </row>
    <row r="248" spans="1:4" ht="15" x14ac:dyDescent="0.2">
      <c r="A248" s="25" t="s">
        <v>1578</v>
      </c>
      <c r="B248" s="8" t="s">
        <v>296</v>
      </c>
      <c r="C248" s="8" t="s">
        <v>6</v>
      </c>
      <c r="D248" s="29">
        <v>55</v>
      </c>
    </row>
    <row r="249" spans="1:4" ht="15" x14ac:dyDescent="0.2">
      <c r="A249" s="25" t="s">
        <v>1579</v>
      </c>
      <c r="B249" s="8" t="s">
        <v>298</v>
      </c>
      <c r="C249" s="8" t="s">
        <v>6</v>
      </c>
      <c r="D249" s="29">
        <v>80</v>
      </c>
    </row>
    <row r="250" spans="1:4" ht="15" x14ac:dyDescent="0.2">
      <c r="A250" s="25" t="s">
        <v>1580</v>
      </c>
      <c r="B250" s="8" t="s">
        <v>300</v>
      </c>
      <c r="C250" s="8" t="s">
        <v>6</v>
      </c>
      <c r="D250" s="29">
        <v>94</v>
      </c>
    </row>
    <row r="251" spans="1:4" ht="15" x14ac:dyDescent="0.2">
      <c r="A251" s="25" t="s">
        <v>1581</v>
      </c>
      <c r="B251" s="8" t="s">
        <v>302</v>
      </c>
      <c r="C251" s="8" t="s">
        <v>3</v>
      </c>
      <c r="D251" s="29">
        <v>178</v>
      </c>
    </row>
    <row r="252" spans="1:4" ht="15" x14ac:dyDescent="0.2">
      <c r="A252" s="25" t="s">
        <v>1582</v>
      </c>
      <c r="B252" s="8" t="s">
        <v>304</v>
      </c>
      <c r="C252" s="8" t="s">
        <v>6</v>
      </c>
      <c r="D252" s="29">
        <v>130</v>
      </c>
    </row>
    <row r="253" spans="1:4" ht="15" x14ac:dyDescent="0.2">
      <c r="A253" s="25" t="s">
        <v>1583</v>
      </c>
      <c r="B253" s="8" t="s">
        <v>306</v>
      </c>
      <c r="C253" s="8" t="s">
        <v>6</v>
      </c>
      <c r="D253" s="29">
        <v>61</v>
      </c>
    </row>
    <row r="254" spans="1:4" ht="15" x14ac:dyDescent="0.2">
      <c r="A254" s="25" t="s">
        <v>1584</v>
      </c>
      <c r="B254" s="8" t="s">
        <v>308</v>
      </c>
      <c r="C254" s="8" t="s">
        <v>6</v>
      </c>
      <c r="D254" s="29">
        <v>54</v>
      </c>
    </row>
    <row r="255" spans="1:4" ht="15" x14ac:dyDescent="0.2">
      <c r="A255" s="25" t="s">
        <v>1585</v>
      </c>
      <c r="B255" s="8" t="s">
        <v>310</v>
      </c>
      <c r="C255" s="8" t="s">
        <v>3</v>
      </c>
      <c r="D255" s="29">
        <v>262</v>
      </c>
    </row>
    <row r="256" spans="1:4" ht="15" x14ac:dyDescent="0.2">
      <c r="A256" s="25" t="s">
        <v>1586</v>
      </c>
      <c r="B256" s="8" t="s">
        <v>312</v>
      </c>
      <c r="C256" s="8" t="s">
        <v>3</v>
      </c>
      <c r="D256" s="29">
        <v>106</v>
      </c>
    </row>
    <row r="257" spans="1:4" ht="15" x14ac:dyDescent="0.2">
      <c r="A257" s="25" t="s">
        <v>1587</v>
      </c>
      <c r="B257" s="8" t="s">
        <v>314</v>
      </c>
      <c r="C257" s="8" t="s">
        <v>6</v>
      </c>
      <c r="D257" s="29">
        <v>16</v>
      </c>
    </row>
    <row r="258" spans="1:4" ht="15" x14ac:dyDescent="0.2">
      <c r="A258" s="25" t="s">
        <v>1588</v>
      </c>
      <c r="B258" s="8" t="s">
        <v>316</v>
      </c>
      <c r="C258" s="8" t="s">
        <v>3</v>
      </c>
      <c r="D258" s="29">
        <v>38</v>
      </c>
    </row>
    <row r="259" spans="1:4" ht="15" x14ac:dyDescent="0.2">
      <c r="A259" s="25" t="s">
        <v>1589</v>
      </c>
      <c r="B259" s="8" t="s">
        <v>318</v>
      </c>
      <c r="C259" s="8" t="s">
        <v>3</v>
      </c>
      <c r="D259" s="29">
        <v>15</v>
      </c>
    </row>
    <row r="260" spans="1:4" ht="15" x14ac:dyDescent="0.2">
      <c r="A260" s="25" t="s">
        <v>1590</v>
      </c>
      <c r="B260" s="8" t="s">
        <v>320</v>
      </c>
      <c r="C260" s="8" t="s">
        <v>6</v>
      </c>
      <c r="D260" s="29">
        <v>40.5</v>
      </c>
    </row>
    <row r="261" spans="1:4" ht="15" x14ac:dyDescent="0.2">
      <c r="A261" s="25" t="s">
        <v>1591</v>
      </c>
      <c r="B261" s="8" t="s">
        <v>322</v>
      </c>
      <c r="C261" s="8" t="s">
        <v>323</v>
      </c>
      <c r="D261" s="30">
        <v>13.5</v>
      </c>
    </row>
    <row r="262" spans="1:4" ht="15" x14ac:dyDescent="0.2">
      <c r="A262" s="25" t="s">
        <v>1592</v>
      </c>
      <c r="B262" s="8" t="s">
        <v>220</v>
      </c>
      <c r="C262" s="8" t="s">
        <v>6</v>
      </c>
      <c r="D262" s="10">
        <v>35</v>
      </c>
    </row>
    <row r="263" spans="1:4" ht="15" x14ac:dyDescent="0.2">
      <c r="A263" s="25" t="s">
        <v>1593</v>
      </c>
      <c r="B263" s="8" t="s">
        <v>222</v>
      </c>
      <c r="C263" s="8" t="s">
        <v>6</v>
      </c>
      <c r="D263" s="10">
        <v>24.6</v>
      </c>
    </row>
    <row r="264" spans="1:4" ht="15" x14ac:dyDescent="0.2">
      <c r="A264" s="25" t="s">
        <v>1594</v>
      </c>
      <c r="B264" s="8" t="s">
        <v>224</v>
      </c>
      <c r="C264" s="8" t="s">
        <v>6</v>
      </c>
      <c r="D264" s="10">
        <v>65</v>
      </c>
    </row>
    <row r="265" spans="1:4" ht="15" x14ac:dyDescent="0.2">
      <c r="A265" s="25" t="s">
        <v>1595</v>
      </c>
      <c r="B265" s="8" t="s">
        <v>226</v>
      </c>
      <c r="C265" s="8" t="s">
        <v>227</v>
      </c>
      <c r="D265" s="10">
        <v>84</v>
      </c>
    </row>
    <row r="266" spans="1:4" ht="15" x14ac:dyDescent="0.2">
      <c r="A266" s="25" t="s">
        <v>1596</v>
      </c>
      <c r="B266" s="8" t="s">
        <v>229</v>
      </c>
      <c r="C266" s="8" t="s">
        <v>12</v>
      </c>
      <c r="D266" s="10">
        <v>30.5</v>
      </c>
    </row>
    <row r="267" spans="1:4" ht="15" x14ac:dyDescent="0.2">
      <c r="A267" s="25" t="s">
        <v>1597</v>
      </c>
      <c r="B267" s="8" t="s">
        <v>231</v>
      </c>
      <c r="C267" s="8" t="s">
        <v>6</v>
      </c>
      <c r="D267" s="10">
        <v>65</v>
      </c>
    </row>
    <row r="268" spans="1:4" ht="15" customHeight="1" x14ac:dyDescent="0.2">
      <c r="A268" s="25" t="s">
        <v>1598</v>
      </c>
      <c r="B268" s="8" t="s">
        <v>233</v>
      </c>
      <c r="C268" s="8" t="s">
        <v>12</v>
      </c>
      <c r="D268" s="10">
        <v>35</v>
      </c>
    </row>
    <row r="269" spans="1:4" ht="15" x14ac:dyDescent="0.2">
      <c r="A269" s="25" t="s">
        <v>1599</v>
      </c>
      <c r="B269" s="8" t="s">
        <v>235</v>
      </c>
      <c r="C269" s="8" t="s">
        <v>6</v>
      </c>
      <c r="D269" s="10">
        <v>85</v>
      </c>
    </row>
    <row r="270" spans="1:4" ht="15" x14ac:dyDescent="0.2">
      <c r="A270" s="25" t="s">
        <v>1600</v>
      </c>
      <c r="B270" s="8" t="s">
        <v>237</v>
      </c>
      <c r="C270" s="8" t="s">
        <v>6</v>
      </c>
      <c r="D270" s="10">
        <v>14</v>
      </c>
    </row>
    <row r="271" spans="1:4" ht="15" x14ac:dyDescent="0.2">
      <c r="A271" s="25" t="s">
        <v>1601</v>
      </c>
      <c r="B271" s="8" t="s">
        <v>239</v>
      </c>
      <c r="C271" s="8" t="s">
        <v>3</v>
      </c>
      <c r="D271" s="10">
        <v>37</v>
      </c>
    </row>
    <row r="272" spans="1:4" ht="15" x14ac:dyDescent="0.2">
      <c r="A272" s="25" t="s">
        <v>1602</v>
      </c>
      <c r="B272" s="8" t="s">
        <v>241</v>
      </c>
      <c r="C272" s="8" t="s">
        <v>3</v>
      </c>
      <c r="D272" s="10">
        <v>25</v>
      </c>
    </row>
    <row r="273" spans="1:4" ht="15" x14ac:dyDescent="0.2">
      <c r="A273" s="25" t="s">
        <v>1603</v>
      </c>
      <c r="B273" s="8" t="s">
        <v>243</v>
      </c>
      <c r="C273" s="8" t="s">
        <v>3</v>
      </c>
      <c r="D273" s="10">
        <v>80.5</v>
      </c>
    </row>
    <row r="274" spans="1:4" ht="15" x14ac:dyDescent="0.2">
      <c r="A274" s="25" t="s">
        <v>1604</v>
      </c>
      <c r="B274" s="8" t="s">
        <v>245</v>
      </c>
      <c r="C274" s="8" t="s">
        <v>6</v>
      </c>
      <c r="D274" s="10">
        <v>82</v>
      </c>
    </row>
    <row r="275" spans="1:4" ht="15" x14ac:dyDescent="0.2">
      <c r="A275" s="25" t="s">
        <v>1605</v>
      </c>
      <c r="B275" s="8" t="s">
        <v>247</v>
      </c>
      <c r="C275" s="8" t="s">
        <v>6</v>
      </c>
      <c r="D275" s="10">
        <v>45</v>
      </c>
    </row>
    <row r="276" spans="1:4" ht="15" x14ac:dyDescent="0.2">
      <c r="A276" s="25" t="s">
        <v>1606</v>
      </c>
      <c r="B276" s="8" t="s">
        <v>249</v>
      </c>
      <c r="C276" s="8" t="s">
        <v>6</v>
      </c>
      <c r="D276" s="10">
        <v>15</v>
      </c>
    </row>
    <row r="277" spans="1:4" ht="15" x14ac:dyDescent="0.2">
      <c r="A277" s="25" t="s">
        <v>1607</v>
      </c>
      <c r="B277" s="8" t="s">
        <v>251</v>
      </c>
      <c r="C277" s="8" t="s">
        <v>6</v>
      </c>
      <c r="D277" s="10">
        <v>72</v>
      </c>
    </row>
    <row r="278" spans="1:4" ht="15" x14ac:dyDescent="0.2">
      <c r="A278" s="25" t="s">
        <v>1608</v>
      </c>
      <c r="B278" s="8" t="s">
        <v>253</v>
      </c>
      <c r="C278" s="8" t="s">
        <v>3</v>
      </c>
      <c r="D278" s="10">
        <v>100</v>
      </c>
    </row>
    <row r="279" spans="1:4" ht="15" x14ac:dyDescent="0.2">
      <c r="A279" s="25" t="s">
        <v>1609</v>
      </c>
      <c r="B279" s="8" t="s">
        <v>255</v>
      </c>
      <c r="C279" s="8" t="s">
        <v>37</v>
      </c>
      <c r="D279" s="10">
        <v>42</v>
      </c>
    </row>
    <row r="280" spans="1:4" ht="15" x14ac:dyDescent="0.2">
      <c r="A280" s="25" t="s">
        <v>1610</v>
      </c>
      <c r="B280" s="8" t="s">
        <v>257</v>
      </c>
      <c r="C280" s="8" t="s">
        <v>6</v>
      </c>
      <c r="D280" s="10">
        <v>47.5</v>
      </c>
    </row>
    <row r="281" spans="1:4" ht="15" x14ac:dyDescent="0.2">
      <c r="A281" s="25" t="s">
        <v>1611</v>
      </c>
      <c r="B281" s="8" t="s">
        <v>259</v>
      </c>
      <c r="C281" s="8" t="s">
        <v>6</v>
      </c>
      <c r="D281" s="10">
        <v>66</v>
      </c>
    </row>
    <row r="282" spans="1:4" ht="15" x14ac:dyDescent="0.2">
      <c r="A282" s="25" t="s">
        <v>1612</v>
      </c>
      <c r="B282" s="8" t="s">
        <v>261</v>
      </c>
      <c r="C282" s="8" t="s">
        <v>6</v>
      </c>
      <c r="D282" s="10">
        <v>122</v>
      </c>
    </row>
    <row r="283" spans="1:4" ht="15" x14ac:dyDescent="0.2">
      <c r="A283" s="25" t="s">
        <v>1613</v>
      </c>
      <c r="B283" s="8" t="s">
        <v>263</v>
      </c>
      <c r="C283" s="8" t="s">
        <v>6</v>
      </c>
      <c r="D283" s="10">
        <v>78</v>
      </c>
    </row>
    <row r="284" spans="1:4" ht="15" x14ac:dyDescent="0.2">
      <c r="A284" s="25" t="s">
        <v>1614</v>
      </c>
      <c r="B284" s="8" t="s">
        <v>265</v>
      </c>
      <c r="C284" s="8" t="s">
        <v>3</v>
      </c>
      <c r="D284" s="10">
        <v>39</v>
      </c>
    </row>
    <row r="285" spans="1:4" ht="15" x14ac:dyDescent="0.2">
      <c r="A285" s="25" t="s">
        <v>1615</v>
      </c>
      <c r="B285" s="8" t="s">
        <v>267</v>
      </c>
      <c r="C285" s="8" t="s">
        <v>101</v>
      </c>
      <c r="D285" s="10">
        <v>5</v>
      </c>
    </row>
    <row r="286" spans="1:4" ht="15" x14ac:dyDescent="0.2">
      <c r="A286" s="25" t="s">
        <v>1616</v>
      </c>
      <c r="B286" s="8" t="s">
        <v>269</v>
      </c>
      <c r="C286" s="8" t="s">
        <v>3</v>
      </c>
      <c r="D286" s="10">
        <v>16.5</v>
      </c>
    </row>
    <row r="287" spans="1:4" ht="15" x14ac:dyDescent="0.2">
      <c r="A287" s="25" t="s">
        <v>1617</v>
      </c>
      <c r="B287" s="8" t="s">
        <v>271</v>
      </c>
      <c r="C287" s="8" t="s">
        <v>6</v>
      </c>
      <c r="D287" s="10">
        <v>5.7</v>
      </c>
    </row>
    <row r="288" spans="1:4" ht="15" x14ac:dyDescent="0.2">
      <c r="A288" s="25" t="s">
        <v>1618</v>
      </c>
      <c r="B288" s="8" t="s">
        <v>273</v>
      </c>
      <c r="C288" s="8" t="s">
        <v>6</v>
      </c>
      <c r="D288" s="10">
        <v>19</v>
      </c>
    </row>
    <row r="289" spans="1:4" ht="15" x14ac:dyDescent="0.2">
      <c r="A289" s="25" t="s">
        <v>1619</v>
      </c>
      <c r="B289" s="8" t="s">
        <v>275</v>
      </c>
      <c r="C289" s="8" t="s">
        <v>6</v>
      </c>
      <c r="D289" s="10">
        <v>15.5</v>
      </c>
    </row>
    <row r="290" spans="1:4" ht="15" x14ac:dyDescent="0.2">
      <c r="A290" s="25" t="s">
        <v>1620</v>
      </c>
      <c r="B290" s="8" t="s">
        <v>277</v>
      </c>
      <c r="C290" s="8" t="s">
        <v>3</v>
      </c>
      <c r="D290" s="10">
        <v>25</v>
      </c>
    </row>
    <row r="291" spans="1:4" ht="15" x14ac:dyDescent="0.2">
      <c r="A291" s="25" t="s">
        <v>1621</v>
      </c>
      <c r="B291" s="8" t="s">
        <v>279</v>
      </c>
      <c r="C291" s="8" t="s">
        <v>6</v>
      </c>
      <c r="D291" s="10">
        <v>39</v>
      </c>
    </row>
    <row r="292" spans="1:4" ht="15" x14ac:dyDescent="0.2">
      <c r="A292" s="25" t="s">
        <v>1622</v>
      </c>
      <c r="B292" s="8" t="s">
        <v>281</v>
      </c>
      <c r="C292" s="8" t="s">
        <v>6</v>
      </c>
      <c r="D292" s="10">
        <v>190</v>
      </c>
    </row>
    <row r="293" spans="1:4" ht="15" x14ac:dyDescent="0.2">
      <c r="A293" s="25" t="s">
        <v>1623</v>
      </c>
      <c r="B293" s="8" t="s">
        <v>283</v>
      </c>
      <c r="C293" s="8" t="s">
        <v>3</v>
      </c>
      <c r="D293" s="10">
        <v>20</v>
      </c>
    </row>
    <row r="294" spans="1:4" ht="15" x14ac:dyDescent="0.2">
      <c r="A294" s="25" t="s">
        <v>1624</v>
      </c>
      <c r="B294" s="8" t="s">
        <v>285</v>
      </c>
      <c r="C294" s="8" t="s">
        <v>6</v>
      </c>
      <c r="D294" s="10">
        <v>19</v>
      </c>
    </row>
    <row r="295" spans="1:4" ht="15" x14ac:dyDescent="0.2">
      <c r="A295" s="25" t="s">
        <v>1625</v>
      </c>
      <c r="B295" s="8" t="s">
        <v>287</v>
      </c>
      <c r="C295" s="8" t="s">
        <v>3</v>
      </c>
      <c r="D295" s="10">
        <v>30</v>
      </c>
    </row>
    <row r="296" spans="1:4" ht="15" x14ac:dyDescent="0.2">
      <c r="A296" s="25" t="s">
        <v>1626</v>
      </c>
      <c r="B296" s="8" t="s">
        <v>289</v>
      </c>
      <c r="C296" s="8" t="s">
        <v>6</v>
      </c>
      <c r="D296" s="10">
        <v>42</v>
      </c>
    </row>
    <row r="297" spans="1:4" ht="15" x14ac:dyDescent="0.2">
      <c r="A297" s="25" t="s">
        <v>1627</v>
      </c>
      <c r="B297" s="8" t="s">
        <v>291</v>
      </c>
      <c r="C297" s="8" t="s">
        <v>6</v>
      </c>
      <c r="D297" s="10">
        <v>35</v>
      </c>
    </row>
    <row r="298" spans="1:4" ht="15" x14ac:dyDescent="0.2">
      <c r="A298" s="25" t="s">
        <v>1628</v>
      </c>
      <c r="B298" s="8" t="s">
        <v>293</v>
      </c>
      <c r="C298" s="8" t="s">
        <v>101</v>
      </c>
      <c r="D298" s="10">
        <v>19</v>
      </c>
    </row>
    <row r="299" spans="1:4" ht="15" x14ac:dyDescent="0.2">
      <c r="A299" s="25" t="s">
        <v>1629</v>
      </c>
      <c r="B299" s="8" t="s">
        <v>295</v>
      </c>
      <c r="C299" s="8" t="s">
        <v>101</v>
      </c>
      <c r="D299" s="10">
        <v>43</v>
      </c>
    </row>
    <row r="300" spans="1:4" ht="15" x14ac:dyDescent="0.2">
      <c r="A300" s="25" t="s">
        <v>1630</v>
      </c>
      <c r="B300" s="8" t="s">
        <v>297</v>
      </c>
      <c r="C300" s="8" t="s">
        <v>6</v>
      </c>
      <c r="D300" s="10">
        <v>25.3</v>
      </c>
    </row>
    <row r="301" spans="1:4" ht="15" x14ac:dyDescent="0.2">
      <c r="A301" s="25" t="s">
        <v>1631</v>
      </c>
      <c r="B301" s="8" t="s">
        <v>299</v>
      </c>
      <c r="C301" s="8" t="s">
        <v>6</v>
      </c>
      <c r="D301" s="10">
        <v>90</v>
      </c>
    </row>
    <row r="302" spans="1:4" ht="15" x14ac:dyDescent="0.2">
      <c r="A302" s="25" t="s">
        <v>1632</v>
      </c>
      <c r="B302" s="8" t="s">
        <v>301</v>
      </c>
      <c r="C302" s="8" t="s">
        <v>3</v>
      </c>
      <c r="D302" s="10">
        <v>18</v>
      </c>
    </row>
    <row r="303" spans="1:4" ht="15" x14ac:dyDescent="0.2">
      <c r="A303" s="25" t="s">
        <v>1633</v>
      </c>
      <c r="B303" s="8" t="s">
        <v>303</v>
      </c>
      <c r="C303" s="8" t="s">
        <v>3</v>
      </c>
      <c r="D303" s="10">
        <v>14</v>
      </c>
    </row>
    <row r="304" spans="1:4" ht="15" x14ac:dyDescent="0.2">
      <c r="A304" s="25" t="s">
        <v>1634</v>
      </c>
      <c r="B304" s="8" t="s">
        <v>305</v>
      </c>
      <c r="C304" s="8" t="s">
        <v>3</v>
      </c>
      <c r="D304" s="10">
        <v>5</v>
      </c>
    </row>
    <row r="305" spans="1:4" ht="15" x14ac:dyDescent="0.2">
      <c r="A305" s="25" t="s">
        <v>1635</v>
      </c>
      <c r="B305" s="8" t="s">
        <v>307</v>
      </c>
      <c r="C305" s="8" t="s">
        <v>227</v>
      </c>
      <c r="D305" s="10">
        <v>23</v>
      </c>
    </row>
    <row r="306" spans="1:4" ht="15" x14ac:dyDescent="0.2">
      <c r="A306" s="25" t="s">
        <v>1636</v>
      </c>
      <c r="B306" s="8" t="s">
        <v>309</v>
      </c>
      <c r="C306" s="8" t="s">
        <v>37</v>
      </c>
      <c r="D306" s="10">
        <v>30</v>
      </c>
    </row>
    <row r="307" spans="1:4" ht="15" x14ac:dyDescent="0.2">
      <c r="A307" s="25" t="s">
        <v>1637</v>
      </c>
      <c r="B307" s="8" t="s">
        <v>311</v>
      </c>
      <c r="C307" s="8" t="s">
        <v>3</v>
      </c>
      <c r="D307" s="10">
        <v>25</v>
      </c>
    </row>
    <row r="308" spans="1:4" ht="15" x14ac:dyDescent="0.2">
      <c r="A308" s="25" t="s">
        <v>1638</v>
      </c>
      <c r="B308" s="8" t="s">
        <v>313</v>
      </c>
      <c r="C308" s="8" t="s">
        <v>3</v>
      </c>
      <c r="D308" s="10">
        <v>45</v>
      </c>
    </row>
    <row r="309" spans="1:4" ht="15" x14ac:dyDescent="0.2">
      <c r="A309" s="25" t="s">
        <v>1639</v>
      </c>
      <c r="B309" s="8" t="s">
        <v>315</v>
      </c>
      <c r="C309" s="8" t="s">
        <v>3</v>
      </c>
      <c r="D309" s="10">
        <v>23</v>
      </c>
    </row>
    <row r="310" spans="1:4" ht="15" x14ac:dyDescent="0.2">
      <c r="A310" s="25" t="s">
        <v>1640</v>
      </c>
      <c r="B310" s="8" t="s">
        <v>317</v>
      </c>
      <c r="C310" s="8" t="s">
        <v>3</v>
      </c>
      <c r="D310" s="10">
        <v>41</v>
      </c>
    </row>
    <row r="311" spans="1:4" ht="15" x14ac:dyDescent="0.2">
      <c r="A311" s="25" t="s">
        <v>1641</v>
      </c>
      <c r="B311" s="8" t="s">
        <v>319</v>
      </c>
      <c r="C311" s="8" t="s">
        <v>37</v>
      </c>
      <c r="D311" s="10">
        <v>30</v>
      </c>
    </row>
    <row r="312" spans="1:4" ht="15" x14ac:dyDescent="0.2">
      <c r="A312" s="25" t="s">
        <v>1642</v>
      </c>
      <c r="B312" s="8" t="s">
        <v>321</v>
      </c>
      <c r="C312" s="8" t="s">
        <v>6</v>
      </c>
      <c r="D312" s="10">
        <v>121.5</v>
      </c>
    </row>
    <row r="313" spans="1:4" ht="15" x14ac:dyDescent="0.2">
      <c r="A313" s="25" t="s">
        <v>1643</v>
      </c>
      <c r="B313" s="8" t="s">
        <v>324</v>
      </c>
      <c r="C313" s="8" t="s">
        <v>111</v>
      </c>
      <c r="D313" s="16">
        <v>28</v>
      </c>
    </row>
    <row r="314" spans="1:4" ht="15" x14ac:dyDescent="0.2">
      <c r="A314" s="25" t="s">
        <v>1644</v>
      </c>
      <c r="B314" s="8" t="s">
        <v>325</v>
      </c>
      <c r="C314" s="8" t="s">
        <v>3</v>
      </c>
      <c r="D314" s="29">
        <v>28</v>
      </c>
    </row>
    <row r="315" spans="1:4" ht="15" x14ac:dyDescent="0.2">
      <c r="A315" s="25" t="s">
        <v>1645</v>
      </c>
      <c r="B315" s="8" t="s">
        <v>327</v>
      </c>
      <c r="C315" s="8" t="s">
        <v>6</v>
      </c>
      <c r="D315" s="29">
        <v>22</v>
      </c>
    </row>
    <row r="316" spans="1:4" ht="15" x14ac:dyDescent="0.2">
      <c r="A316" s="25" t="s">
        <v>1646</v>
      </c>
      <c r="B316" s="8" t="s">
        <v>329</v>
      </c>
      <c r="C316" s="8" t="s">
        <v>6</v>
      </c>
      <c r="D316" s="29">
        <v>31.5</v>
      </c>
    </row>
    <row r="317" spans="1:4" ht="15" x14ac:dyDescent="0.2">
      <c r="A317" s="25" t="s">
        <v>1647</v>
      </c>
      <c r="B317" s="8" t="s">
        <v>331</v>
      </c>
      <c r="C317" s="8" t="s">
        <v>6</v>
      </c>
      <c r="D317" s="29">
        <v>44</v>
      </c>
    </row>
    <row r="318" spans="1:4" ht="15" x14ac:dyDescent="0.2">
      <c r="A318" s="25" t="s">
        <v>1648</v>
      </c>
      <c r="B318" s="8" t="s">
        <v>333</v>
      </c>
      <c r="C318" s="8" t="s">
        <v>6</v>
      </c>
      <c r="D318" s="29">
        <v>178</v>
      </c>
    </row>
    <row r="319" spans="1:4" ht="15" x14ac:dyDescent="0.2">
      <c r="A319" s="25" t="s">
        <v>1649</v>
      </c>
      <c r="B319" s="8" t="s">
        <v>335</v>
      </c>
      <c r="C319" s="8" t="s">
        <v>6</v>
      </c>
      <c r="D319" s="29">
        <v>140</v>
      </c>
    </row>
    <row r="320" spans="1:4" ht="15" x14ac:dyDescent="0.2">
      <c r="A320" s="25" t="s">
        <v>1650</v>
      </c>
      <c r="B320" s="8" t="s">
        <v>337</v>
      </c>
      <c r="C320" s="8" t="s">
        <v>37</v>
      </c>
      <c r="D320" s="29">
        <v>125</v>
      </c>
    </row>
    <row r="321" spans="1:4" ht="15" x14ac:dyDescent="0.2">
      <c r="A321" s="25" t="s">
        <v>1651</v>
      </c>
      <c r="B321" s="8" t="s">
        <v>339</v>
      </c>
      <c r="C321" s="8" t="s">
        <v>3</v>
      </c>
      <c r="D321" s="29">
        <v>14</v>
      </c>
    </row>
    <row r="322" spans="1:4" ht="15" x14ac:dyDescent="0.2">
      <c r="A322" s="25" t="s">
        <v>1652</v>
      </c>
      <c r="B322" s="8" t="s">
        <v>341</v>
      </c>
      <c r="C322" s="8" t="s">
        <v>6</v>
      </c>
      <c r="D322" s="29">
        <v>145</v>
      </c>
    </row>
    <row r="323" spans="1:4" ht="15" x14ac:dyDescent="0.2">
      <c r="A323" s="25" t="s">
        <v>1653</v>
      </c>
      <c r="B323" s="8" t="s">
        <v>343</v>
      </c>
      <c r="C323" s="8" t="s">
        <v>3</v>
      </c>
      <c r="D323" s="29">
        <v>30.5</v>
      </c>
    </row>
    <row r="324" spans="1:4" ht="15" x14ac:dyDescent="0.2">
      <c r="A324" s="25" t="s">
        <v>1654</v>
      </c>
      <c r="B324" s="8" t="s">
        <v>345</v>
      </c>
      <c r="C324" s="8" t="s">
        <v>6</v>
      </c>
      <c r="D324" s="29">
        <v>40</v>
      </c>
    </row>
    <row r="325" spans="1:4" ht="15" x14ac:dyDescent="0.2">
      <c r="A325" s="25" t="s">
        <v>1655</v>
      </c>
      <c r="B325" s="8" t="s">
        <v>347</v>
      </c>
      <c r="C325" s="8" t="s">
        <v>6</v>
      </c>
      <c r="D325" s="29">
        <v>14.6</v>
      </c>
    </row>
    <row r="326" spans="1:4" ht="15" x14ac:dyDescent="0.2">
      <c r="A326" s="25" t="s">
        <v>1656</v>
      </c>
      <c r="B326" s="8" t="s">
        <v>349</v>
      </c>
      <c r="C326" s="8" t="s">
        <v>45</v>
      </c>
      <c r="D326" s="29">
        <v>260</v>
      </c>
    </row>
    <row r="327" spans="1:4" ht="15" x14ac:dyDescent="0.2">
      <c r="A327" s="25" t="s">
        <v>1657</v>
      </c>
      <c r="B327" s="8" t="s">
        <v>351</v>
      </c>
      <c r="C327" s="8" t="s">
        <v>6</v>
      </c>
      <c r="D327" s="29">
        <v>125</v>
      </c>
    </row>
    <row r="328" spans="1:4" ht="15" x14ac:dyDescent="0.2">
      <c r="A328" s="25" t="s">
        <v>1658</v>
      </c>
      <c r="B328" s="8" t="s">
        <v>353</v>
      </c>
      <c r="C328" s="8" t="s">
        <v>6</v>
      </c>
      <c r="D328" s="29">
        <v>340</v>
      </c>
    </row>
    <row r="329" spans="1:4" ht="15" x14ac:dyDescent="0.2">
      <c r="A329" s="25" t="s">
        <v>1659</v>
      </c>
      <c r="B329" s="8" t="s">
        <v>355</v>
      </c>
      <c r="C329" s="8" t="s">
        <v>3</v>
      </c>
      <c r="D329" s="29">
        <v>55</v>
      </c>
    </row>
    <row r="330" spans="1:4" ht="15" x14ac:dyDescent="0.2">
      <c r="A330" s="25" t="s">
        <v>1660</v>
      </c>
      <c r="B330" s="8" t="s">
        <v>357</v>
      </c>
      <c r="C330" s="8" t="s">
        <v>101</v>
      </c>
      <c r="D330" s="29">
        <v>31.6</v>
      </c>
    </row>
    <row r="331" spans="1:4" ht="15" x14ac:dyDescent="0.2">
      <c r="A331" s="25" t="s">
        <v>1661</v>
      </c>
      <c r="B331" s="8" t="s">
        <v>359</v>
      </c>
      <c r="C331" s="8" t="s">
        <v>6</v>
      </c>
      <c r="D331" s="29">
        <v>230</v>
      </c>
    </row>
    <row r="332" spans="1:4" ht="15" x14ac:dyDescent="0.2">
      <c r="A332" s="25" t="s">
        <v>1662</v>
      </c>
      <c r="B332" s="8" t="s">
        <v>361</v>
      </c>
      <c r="C332" s="8" t="s">
        <v>101</v>
      </c>
      <c r="D332" s="29">
        <v>26</v>
      </c>
    </row>
    <row r="333" spans="1:4" ht="15" x14ac:dyDescent="0.2">
      <c r="A333" s="25" t="s">
        <v>1663</v>
      </c>
      <c r="B333" s="8" t="s">
        <v>363</v>
      </c>
      <c r="C333" s="8" t="s">
        <v>6</v>
      </c>
      <c r="D333" s="29">
        <v>304</v>
      </c>
    </row>
    <row r="334" spans="1:4" ht="15" x14ac:dyDescent="0.2">
      <c r="A334" s="25" t="s">
        <v>1664</v>
      </c>
      <c r="B334" s="8" t="s">
        <v>365</v>
      </c>
      <c r="C334" s="8" t="s">
        <v>6</v>
      </c>
      <c r="D334" s="29">
        <v>97</v>
      </c>
    </row>
    <row r="335" spans="1:4" ht="15" x14ac:dyDescent="0.2">
      <c r="A335" s="25" t="s">
        <v>1665</v>
      </c>
      <c r="B335" s="8" t="s">
        <v>367</v>
      </c>
      <c r="C335" s="8" t="s">
        <v>6</v>
      </c>
      <c r="D335" s="29">
        <v>147</v>
      </c>
    </row>
    <row r="336" spans="1:4" ht="15" x14ac:dyDescent="0.2">
      <c r="A336" s="25" t="s">
        <v>1666</v>
      </c>
      <c r="B336" s="8" t="s">
        <v>369</v>
      </c>
      <c r="C336" s="8" t="s">
        <v>6</v>
      </c>
      <c r="D336" s="29">
        <v>109</v>
      </c>
    </row>
    <row r="337" spans="1:4" ht="15" x14ac:dyDescent="0.2">
      <c r="A337" s="25" t="s">
        <v>1667</v>
      </c>
      <c r="B337" s="8" t="s">
        <v>371</v>
      </c>
      <c r="C337" s="8" t="s">
        <v>3</v>
      </c>
      <c r="D337" s="29">
        <v>25</v>
      </c>
    </row>
    <row r="338" spans="1:4" ht="15" x14ac:dyDescent="0.2">
      <c r="A338" s="25" t="s">
        <v>1668</v>
      </c>
      <c r="B338" s="8" t="s">
        <v>373</v>
      </c>
      <c r="C338" s="8" t="s">
        <v>3</v>
      </c>
      <c r="D338" s="29">
        <v>31</v>
      </c>
    </row>
    <row r="339" spans="1:4" ht="15" x14ac:dyDescent="0.2">
      <c r="A339" s="25" t="s">
        <v>1669</v>
      </c>
      <c r="B339" s="8" t="s">
        <v>375</v>
      </c>
      <c r="C339" s="8" t="s">
        <v>3</v>
      </c>
      <c r="D339" s="29">
        <v>25</v>
      </c>
    </row>
    <row r="340" spans="1:4" ht="15" x14ac:dyDescent="0.2">
      <c r="A340" s="25" t="s">
        <v>1670</v>
      </c>
      <c r="B340" s="8" t="s">
        <v>377</v>
      </c>
      <c r="C340" s="8" t="s">
        <v>6</v>
      </c>
      <c r="D340" s="29">
        <v>44</v>
      </c>
    </row>
    <row r="341" spans="1:4" ht="15" x14ac:dyDescent="0.2">
      <c r="A341" s="25" t="s">
        <v>1671</v>
      </c>
      <c r="B341" s="8" t="s">
        <v>379</v>
      </c>
      <c r="C341" s="8" t="s">
        <v>3</v>
      </c>
      <c r="D341" s="29">
        <v>69</v>
      </c>
    </row>
    <row r="342" spans="1:4" ht="15" x14ac:dyDescent="0.2">
      <c r="A342" s="25" t="s">
        <v>1672</v>
      </c>
      <c r="B342" s="8" t="s">
        <v>385</v>
      </c>
      <c r="C342" s="8" t="s">
        <v>6</v>
      </c>
      <c r="D342" s="29">
        <v>40</v>
      </c>
    </row>
    <row r="343" spans="1:4" ht="15" x14ac:dyDescent="0.2">
      <c r="A343" s="25" t="s">
        <v>1673</v>
      </c>
      <c r="B343" s="8" t="s">
        <v>381</v>
      </c>
      <c r="C343" s="8" t="s">
        <v>3</v>
      </c>
      <c r="D343" s="29">
        <v>58</v>
      </c>
    </row>
    <row r="344" spans="1:4" ht="15" x14ac:dyDescent="0.2">
      <c r="A344" s="25" t="s">
        <v>1674</v>
      </c>
      <c r="B344" s="8" t="s">
        <v>383</v>
      </c>
      <c r="C344" s="8" t="s">
        <v>6</v>
      </c>
      <c r="D344" s="29">
        <v>56</v>
      </c>
    </row>
    <row r="345" spans="1:4" ht="15" x14ac:dyDescent="0.2">
      <c r="A345" s="25" t="s">
        <v>1675</v>
      </c>
      <c r="B345" s="8" t="s">
        <v>387</v>
      </c>
      <c r="C345" s="8" t="s">
        <v>6</v>
      </c>
      <c r="D345" s="29">
        <v>110</v>
      </c>
    </row>
    <row r="346" spans="1:4" ht="15" x14ac:dyDescent="0.2">
      <c r="A346" s="25" t="s">
        <v>1676</v>
      </c>
      <c r="B346" s="8" t="s">
        <v>389</v>
      </c>
      <c r="C346" s="8" t="s">
        <v>6</v>
      </c>
      <c r="D346" s="29">
        <v>36</v>
      </c>
    </row>
    <row r="347" spans="1:4" ht="15" x14ac:dyDescent="0.2">
      <c r="A347" s="25" t="s">
        <v>1677</v>
      </c>
      <c r="B347" s="8" t="s">
        <v>391</v>
      </c>
      <c r="C347" s="8" t="s">
        <v>6</v>
      </c>
      <c r="D347" s="29">
        <v>82</v>
      </c>
    </row>
    <row r="348" spans="1:4" ht="15" x14ac:dyDescent="0.2">
      <c r="A348" s="25" t="s">
        <v>1678</v>
      </c>
      <c r="B348" s="8" t="s">
        <v>393</v>
      </c>
      <c r="C348" s="8" t="s">
        <v>37</v>
      </c>
      <c r="D348" s="29">
        <v>32</v>
      </c>
    </row>
    <row r="349" spans="1:4" ht="15" x14ac:dyDescent="0.2">
      <c r="A349" s="25" t="s">
        <v>1679</v>
      </c>
      <c r="B349" s="8" t="s">
        <v>395</v>
      </c>
      <c r="C349" s="8" t="s">
        <v>6</v>
      </c>
      <c r="D349" s="29">
        <v>36</v>
      </c>
    </row>
    <row r="350" spans="1:4" ht="15" x14ac:dyDescent="0.2">
      <c r="A350" s="25" t="s">
        <v>1680</v>
      </c>
      <c r="B350" s="8" t="s">
        <v>397</v>
      </c>
      <c r="C350" s="8" t="s">
        <v>6</v>
      </c>
      <c r="D350" s="29">
        <v>18</v>
      </c>
    </row>
    <row r="351" spans="1:4" ht="15" x14ac:dyDescent="0.2">
      <c r="A351" s="25" t="s">
        <v>1681</v>
      </c>
      <c r="B351" s="8" t="s">
        <v>399</v>
      </c>
      <c r="C351" s="8" t="s">
        <v>6</v>
      </c>
      <c r="D351" s="29">
        <v>17</v>
      </c>
    </row>
    <row r="352" spans="1:4" ht="15" x14ac:dyDescent="0.2">
      <c r="A352" s="25" t="s">
        <v>1682</v>
      </c>
      <c r="B352" s="8" t="s">
        <v>401</v>
      </c>
      <c r="C352" s="8" t="s">
        <v>6</v>
      </c>
      <c r="D352" s="29">
        <v>10.5</v>
      </c>
    </row>
    <row r="353" spans="1:4" ht="15" x14ac:dyDescent="0.2">
      <c r="A353" s="25" t="s">
        <v>1683</v>
      </c>
      <c r="B353" s="8" t="s">
        <v>403</v>
      </c>
      <c r="C353" s="8" t="s">
        <v>6</v>
      </c>
      <c r="D353" s="29">
        <v>8.5</v>
      </c>
    </row>
    <row r="354" spans="1:4" ht="15" x14ac:dyDescent="0.2">
      <c r="A354" s="25" t="s">
        <v>1684</v>
      </c>
      <c r="B354" s="8" t="s">
        <v>405</v>
      </c>
      <c r="C354" s="8" t="s">
        <v>6</v>
      </c>
      <c r="D354" s="29">
        <v>30</v>
      </c>
    </row>
    <row r="355" spans="1:4" ht="15" x14ac:dyDescent="0.2">
      <c r="A355" s="25" t="s">
        <v>1685</v>
      </c>
      <c r="B355" s="8" t="s">
        <v>407</v>
      </c>
      <c r="C355" s="8" t="s">
        <v>37</v>
      </c>
      <c r="D355" s="29">
        <v>190</v>
      </c>
    </row>
    <row r="356" spans="1:4" ht="15" x14ac:dyDescent="0.2">
      <c r="A356" s="25" t="s">
        <v>1686</v>
      </c>
      <c r="B356" s="8" t="s">
        <v>409</v>
      </c>
      <c r="C356" s="8" t="s">
        <v>3</v>
      </c>
      <c r="D356" s="29">
        <v>34.5</v>
      </c>
    </row>
    <row r="357" spans="1:4" ht="15" x14ac:dyDescent="0.2">
      <c r="A357" s="25" t="s">
        <v>1687</v>
      </c>
      <c r="B357" s="8" t="s">
        <v>411</v>
      </c>
      <c r="C357" s="8" t="s">
        <v>6</v>
      </c>
      <c r="D357" s="29">
        <v>198.6</v>
      </c>
    </row>
    <row r="358" spans="1:4" ht="15" x14ac:dyDescent="0.2">
      <c r="A358" s="25" t="s">
        <v>1688</v>
      </c>
      <c r="B358" s="8" t="s">
        <v>413</v>
      </c>
      <c r="C358" s="8" t="s">
        <v>6</v>
      </c>
      <c r="D358" s="29">
        <v>189</v>
      </c>
    </row>
    <row r="359" spans="1:4" ht="15" x14ac:dyDescent="0.2">
      <c r="A359" s="25" t="s">
        <v>1689</v>
      </c>
      <c r="B359" s="8" t="s">
        <v>415</v>
      </c>
      <c r="C359" s="8" t="s">
        <v>6</v>
      </c>
      <c r="D359" s="29">
        <v>69</v>
      </c>
    </row>
    <row r="360" spans="1:4" ht="15" x14ac:dyDescent="0.2">
      <c r="A360" s="25" t="s">
        <v>1690</v>
      </c>
      <c r="B360" s="8" t="s">
        <v>419</v>
      </c>
      <c r="C360" s="8" t="s">
        <v>3</v>
      </c>
      <c r="D360" s="29">
        <v>36</v>
      </c>
    </row>
    <row r="361" spans="1:4" ht="15" x14ac:dyDescent="0.2">
      <c r="A361" s="25" t="s">
        <v>1691</v>
      </c>
      <c r="B361" s="8" t="s">
        <v>417</v>
      </c>
      <c r="C361" s="8" t="s">
        <v>37</v>
      </c>
      <c r="D361" s="29">
        <v>270</v>
      </c>
    </row>
    <row r="362" spans="1:4" ht="15" x14ac:dyDescent="0.2">
      <c r="A362" s="25" t="s">
        <v>1692</v>
      </c>
      <c r="B362" s="8" t="s">
        <v>421</v>
      </c>
      <c r="C362" s="8" t="s">
        <v>3</v>
      </c>
      <c r="D362" s="29">
        <v>78</v>
      </c>
    </row>
    <row r="363" spans="1:4" ht="15" x14ac:dyDescent="0.2">
      <c r="A363" s="25" t="s">
        <v>1693</v>
      </c>
      <c r="B363" s="8" t="s">
        <v>423</v>
      </c>
      <c r="C363" s="8" t="s">
        <v>45</v>
      </c>
      <c r="D363" s="29">
        <v>19</v>
      </c>
    </row>
    <row r="364" spans="1:4" ht="15" x14ac:dyDescent="0.2">
      <c r="A364" s="25" t="s">
        <v>1694</v>
      </c>
      <c r="B364" s="8" t="s">
        <v>425</v>
      </c>
      <c r="C364" s="8" t="s">
        <v>6</v>
      </c>
      <c r="D364" s="29">
        <v>107</v>
      </c>
    </row>
    <row r="365" spans="1:4" ht="15" x14ac:dyDescent="0.2">
      <c r="A365" s="25" t="s">
        <v>1695</v>
      </c>
      <c r="B365" s="8" t="s">
        <v>427</v>
      </c>
      <c r="C365" s="8" t="s">
        <v>323</v>
      </c>
      <c r="D365" s="30">
        <v>78</v>
      </c>
    </row>
    <row r="366" spans="1:4" ht="15" x14ac:dyDescent="0.2">
      <c r="A366" s="25" t="s">
        <v>1696</v>
      </c>
      <c r="B366" s="8" t="s">
        <v>326</v>
      </c>
      <c r="C366" s="8" t="s">
        <v>3</v>
      </c>
      <c r="D366" s="10">
        <v>16.5</v>
      </c>
    </row>
    <row r="367" spans="1:4" ht="15" x14ac:dyDescent="0.2">
      <c r="A367" s="25" t="s">
        <v>1697</v>
      </c>
      <c r="B367" s="8" t="s">
        <v>328</v>
      </c>
      <c r="C367" s="8" t="s">
        <v>3</v>
      </c>
      <c r="D367" s="10">
        <v>14.5</v>
      </c>
    </row>
    <row r="368" spans="1:4" ht="15" x14ac:dyDescent="0.2">
      <c r="A368" s="25" t="s">
        <v>1698</v>
      </c>
      <c r="B368" s="8" t="s">
        <v>330</v>
      </c>
      <c r="C368" s="8" t="s">
        <v>12</v>
      </c>
      <c r="D368" s="10">
        <v>62</v>
      </c>
    </row>
    <row r="369" spans="1:4" ht="15" x14ac:dyDescent="0.2">
      <c r="A369" s="25" t="s">
        <v>1699</v>
      </c>
      <c r="B369" s="8" t="s">
        <v>332</v>
      </c>
      <c r="C369" s="8" t="s">
        <v>3</v>
      </c>
      <c r="D369" s="10">
        <v>15</v>
      </c>
    </row>
    <row r="370" spans="1:4" ht="15" x14ac:dyDescent="0.2">
      <c r="A370" s="25" t="s">
        <v>1700</v>
      </c>
      <c r="B370" s="8" t="s">
        <v>334</v>
      </c>
      <c r="C370" s="8" t="s">
        <v>45</v>
      </c>
      <c r="D370" s="10">
        <v>82</v>
      </c>
    </row>
    <row r="371" spans="1:4" ht="15" x14ac:dyDescent="0.2">
      <c r="A371" s="25" t="s">
        <v>1701</v>
      </c>
      <c r="B371" s="8" t="s">
        <v>336</v>
      </c>
      <c r="C371" s="8" t="s">
        <v>12</v>
      </c>
      <c r="D371" s="10">
        <v>41</v>
      </c>
    </row>
    <row r="372" spans="1:4" ht="15" x14ac:dyDescent="0.2">
      <c r="A372" s="25" t="s">
        <v>1702</v>
      </c>
      <c r="B372" s="8" t="s">
        <v>338</v>
      </c>
      <c r="C372" s="8" t="s">
        <v>6</v>
      </c>
      <c r="D372" s="10">
        <v>175</v>
      </c>
    </row>
    <row r="373" spans="1:4" ht="15" x14ac:dyDescent="0.2">
      <c r="A373" s="25" t="s">
        <v>1703</v>
      </c>
      <c r="B373" s="8" t="s">
        <v>340</v>
      </c>
      <c r="C373" s="8" t="s">
        <v>6</v>
      </c>
      <c r="D373" s="10">
        <v>165</v>
      </c>
    </row>
    <row r="374" spans="1:4" ht="15" x14ac:dyDescent="0.2">
      <c r="A374" s="25" t="s">
        <v>1704</v>
      </c>
      <c r="B374" s="8" t="s">
        <v>342</v>
      </c>
      <c r="C374" s="8" t="s">
        <v>6</v>
      </c>
      <c r="D374" s="10">
        <v>50</v>
      </c>
    </row>
    <row r="375" spans="1:4" ht="15" x14ac:dyDescent="0.2">
      <c r="A375" s="25" t="s">
        <v>1705</v>
      </c>
      <c r="B375" s="8" t="s">
        <v>344</v>
      </c>
      <c r="C375" s="8" t="s">
        <v>6</v>
      </c>
      <c r="D375" s="10">
        <v>21</v>
      </c>
    </row>
    <row r="376" spans="1:4" ht="15" x14ac:dyDescent="0.2">
      <c r="A376" s="25" t="s">
        <v>1706</v>
      </c>
      <c r="B376" s="8" t="s">
        <v>346</v>
      </c>
      <c r="C376" s="8" t="s">
        <v>6</v>
      </c>
      <c r="D376" s="10">
        <v>175</v>
      </c>
    </row>
    <row r="377" spans="1:4" ht="15" x14ac:dyDescent="0.2">
      <c r="A377" s="25" t="s">
        <v>1707</v>
      </c>
      <c r="B377" s="8" t="s">
        <v>348</v>
      </c>
      <c r="C377" s="8" t="s">
        <v>6</v>
      </c>
      <c r="D377" s="10">
        <v>8.5</v>
      </c>
    </row>
    <row r="378" spans="1:4" ht="15" x14ac:dyDescent="0.2">
      <c r="A378" s="25" t="s">
        <v>1708</v>
      </c>
      <c r="B378" s="8" t="s">
        <v>350</v>
      </c>
      <c r="C378" s="8" t="s">
        <v>3</v>
      </c>
      <c r="D378" s="10">
        <v>35</v>
      </c>
    </row>
    <row r="379" spans="1:4" ht="15" x14ac:dyDescent="0.2">
      <c r="A379" s="25" t="s">
        <v>1709</v>
      </c>
      <c r="B379" s="8" t="s">
        <v>352</v>
      </c>
      <c r="C379" s="8" t="s">
        <v>3</v>
      </c>
      <c r="D379" s="10">
        <v>44</v>
      </c>
    </row>
    <row r="380" spans="1:4" ht="15" x14ac:dyDescent="0.2">
      <c r="A380" s="25" t="s">
        <v>1710</v>
      </c>
      <c r="B380" s="8" t="s">
        <v>354</v>
      </c>
      <c r="C380" s="8" t="s">
        <v>3</v>
      </c>
      <c r="D380" s="10">
        <v>23.2</v>
      </c>
    </row>
    <row r="381" spans="1:4" ht="15" x14ac:dyDescent="0.2">
      <c r="A381" s="25" t="s">
        <v>1711</v>
      </c>
      <c r="B381" s="8" t="s">
        <v>358</v>
      </c>
      <c r="C381" s="8" t="s">
        <v>3</v>
      </c>
      <c r="D381" s="10">
        <v>33.5</v>
      </c>
    </row>
    <row r="382" spans="1:4" ht="15" x14ac:dyDescent="0.2">
      <c r="A382" s="25" t="s">
        <v>1712</v>
      </c>
      <c r="B382" s="8" t="s">
        <v>360</v>
      </c>
      <c r="C382" s="8" t="s">
        <v>3</v>
      </c>
      <c r="D382" s="10">
        <v>29.5</v>
      </c>
    </row>
    <row r="383" spans="1:4" ht="15" x14ac:dyDescent="0.2">
      <c r="A383" s="25" t="s">
        <v>1713</v>
      </c>
      <c r="B383" s="8" t="s">
        <v>356</v>
      </c>
      <c r="C383" s="8" t="s">
        <v>3</v>
      </c>
      <c r="D383" s="10">
        <v>40</v>
      </c>
    </row>
    <row r="384" spans="1:4" ht="15" x14ac:dyDescent="0.2">
      <c r="A384" s="25" t="s">
        <v>1714</v>
      </c>
      <c r="B384" s="8" t="s">
        <v>362</v>
      </c>
      <c r="C384" s="8" t="s">
        <v>3</v>
      </c>
      <c r="D384" s="10">
        <v>24.2</v>
      </c>
    </row>
    <row r="385" spans="1:4" ht="15" x14ac:dyDescent="0.2">
      <c r="A385" s="25" t="s">
        <v>1715</v>
      </c>
      <c r="B385" s="8" t="s">
        <v>364</v>
      </c>
      <c r="C385" s="8" t="s">
        <v>6</v>
      </c>
      <c r="D385" s="10">
        <v>37</v>
      </c>
    </row>
    <row r="386" spans="1:4" ht="15" x14ac:dyDescent="0.2">
      <c r="A386" s="25" t="s">
        <v>1716</v>
      </c>
      <c r="B386" s="8" t="s">
        <v>366</v>
      </c>
      <c r="C386" s="8" t="s">
        <v>3</v>
      </c>
      <c r="D386" s="10">
        <v>167</v>
      </c>
    </row>
    <row r="387" spans="1:4" ht="15" x14ac:dyDescent="0.2">
      <c r="A387" s="25" t="s">
        <v>1717</v>
      </c>
      <c r="B387" s="8" t="s">
        <v>368</v>
      </c>
      <c r="C387" s="8" t="s">
        <v>3</v>
      </c>
      <c r="D387" s="10">
        <v>20</v>
      </c>
    </row>
    <row r="388" spans="1:4" ht="15" x14ac:dyDescent="0.2">
      <c r="A388" s="25" t="s">
        <v>1718</v>
      </c>
      <c r="B388" s="8" t="s">
        <v>370</v>
      </c>
      <c r="C388" s="8" t="s">
        <v>6</v>
      </c>
      <c r="D388" s="10">
        <v>94</v>
      </c>
    </row>
    <row r="389" spans="1:4" ht="15" x14ac:dyDescent="0.2">
      <c r="A389" s="25" t="s">
        <v>1719</v>
      </c>
      <c r="B389" s="8" t="s">
        <v>372</v>
      </c>
      <c r="C389" s="8" t="s">
        <v>6</v>
      </c>
      <c r="D389" s="10">
        <v>117</v>
      </c>
    </row>
    <row r="390" spans="1:4" ht="15" x14ac:dyDescent="0.2">
      <c r="A390" s="25" t="s">
        <v>1720</v>
      </c>
      <c r="B390" s="8" t="s">
        <v>374</v>
      </c>
      <c r="C390" s="8" t="s">
        <v>6</v>
      </c>
      <c r="D390" s="10">
        <v>27</v>
      </c>
    </row>
    <row r="391" spans="1:4" ht="15" x14ac:dyDescent="0.2">
      <c r="A391" s="25" t="s">
        <v>1721</v>
      </c>
      <c r="B391" s="8" t="s">
        <v>376</v>
      </c>
      <c r="C391" s="8" t="s">
        <v>12</v>
      </c>
      <c r="D391" s="10">
        <v>15.5</v>
      </c>
    </row>
    <row r="392" spans="1:4" ht="15" x14ac:dyDescent="0.2">
      <c r="A392" s="25" t="s">
        <v>1722</v>
      </c>
      <c r="B392" s="8" t="s">
        <v>378</v>
      </c>
      <c r="C392" s="8" t="s">
        <v>6</v>
      </c>
      <c r="D392" s="10">
        <v>4.7</v>
      </c>
    </row>
    <row r="393" spans="1:4" ht="15" x14ac:dyDescent="0.2">
      <c r="A393" s="25" t="s">
        <v>1723</v>
      </c>
      <c r="B393" s="8" t="s">
        <v>380</v>
      </c>
      <c r="C393" s="8" t="s">
        <v>6</v>
      </c>
      <c r="D393" s="10">
        <v>25</v>
      </c>
    </row>
    <row r="394" spans="1:4" ht="15" x14ac:dyDescent="0.2">
      <c r="A394" s="25" t="s">
        <v>1724</v>
      </c>
      <c r="B394" s="8" t="s">
        <v>382</v>
      </c>
      <c r="C394" s="8" t="s">
        <v>3</v>
      </c>
      <c r="D394" s="10">
        <v>15.5</v>
      </c>
    </row>
    <row r="395" spans="1:4" ht="15" x14ac:dyDescent="0.2">
      <c r="A395" s="25" t="s">
        <v>1725</v>
      </c>
      <c r="B395" s="8" t="s">
        <v>384</v>
      </c>
      <c r="C395" s="8" t="s">
        <v>3</v>
      </c>
      <c r="D395" s="10">
        <v>17.5</v>
      </c>
    </row>
    <row r="396" spans="1:4" ht="15" x14ac:dyDescent="0.2">
      <c r="A396" s="25" t="s">
        <v>1726</v>
      </c>
      <c r="B396" s="8" t="s">
        <v>386</v>
      </c>
      <c r="C396" s="8" t="s">
        <v>6</v>
      </c>
      <c r="D396" s="10">
        <v>22.2</v>
      </c>
    </row>
    <row r="397" spans="1:4" ht="15" x14ac:dyDescent="0.2">
      <c r="A397" s="25" t="s">
        <v>1727</v>
      </c>
      <c r="B397" s="8" t="s">
        <v>388</v>
      </c>
      <c r="C397" s="8" t="s">
        <v>3</v>
      </c>
      <c r="D397" s="10">
        <v>20</v>
      </c>
    </row>
    <row r="398" spans="1:4" ht="15" x14ac:dyDescent="0.2">
      <c r="A398" s="25" t="s">
        <v>1728</v>
      </c>
      <c r="B398" s="8" t="s">
        <v>390</v>
      </c>
      <c r="C398" s="8" t="s">
        <v>6</v>
      </c>
      <c r="D398" s="10">
        <v>17.5</v>
      </c>
    </row>
    <row r="399" spans="1:4" ht="15" x14ac:dyDescent="0.2">
      <c r="A399" s="25" t="s">
        <v>1729</v>
      </c>
      <c r="B399" s="8" t="s">
        <v>392</v>
      </c>
      <c r="C399" s="8" t="s">
        <v>6</v>
      </c>
      <c r="D399" s="10">
        <v>25</v>
      </c>
    </row>
    <row r="400" spans="1:4" ht="15" x14ac:dyDescent="0.2">
      <c r="A400" s="25" t="s">
        <v>1730</v>
      </c>
      <c r="B400" s="8" t="s">
        <v>394</v>
      </c>
      <c r="C400" s="8" t="s">
        <v>6</v>
      </c>
      <c r="D400" s="10">
        <v>36</v>
      </c>
    </row>
    <row r="401" spans="1:4" ht="15" x14ac:dyDescent="0.2">
      <c r="A401" s="25" t="s">
        <v>1731</v>
      </c>
      <c r="B401" s="8" t="s">
        <v>396</v>
      </c>
      <c r="C401" s="8" t="s">
        <v>3</v>
      </c>
      <c r="D401" s="10">
        <v>45</v>
      </c>
    </row>
    <row r="402" spans="1:4" ht="15" x14ac:dyDescent="0.2">
      <c r="A402" s="25" t="s">
        <v>1732</v>
      </c>
      <c r="B402" s="8" t="s">
        <v>398</v>
      </c>
      <c r="C402" s="8" t="s">
        <v>6</v>
      </c>
      <c r="D402" s="10">
        <v>35</v>
      </c>
    </row>
    <row r="403" spans="1:4" ht="15" x14ac:dyDescent="0.2">
      <c r="A403" s="25" t="s">
        <v>1733</v>
      </c>
      <c r="B403" s="8" t="s">
        <v>400</v>
      </c>
      <c r="C403" s="8" t="s">
        <v>6</v>
      </c>
      <c r="D403" s="10">
        <v>200</v>
      </c>
    </row>
    <row r="404" spans="1:4" ht="15" x14ac:dyDescent="0.2">
      <c r="A404" s="25" t="s">
        <v>1734</v>
      </c>
      <c r="B404" s="8" t="s">
        <v>402</v>
      </c>
      <c r="C404" s="8" t="s">
        <v>12</v>
      </c>
      <c r="D404" s="10">
        <v>17.5</v>
      </c>
    </row>
    <row r="405" spans="1:4" ht="15" x14ac:dyDescent="0.2">
      <c r="A405" s="25" t="s">
        <v>1735</v>
      </c>
      <c r="B405" s="8" t="s">
        <v>404</v>
      </c>
      <c r="C405" s="8" t="s">
        <v>6</v>
      </c>
      <c r="D405" s="10">
        <v>44</v>
      </c>
    </row>
    <row r="406" spans="1:4" ht="15" x14ac:dyDescent="0.2">
      <c r="A406" s="25" t="s">
        <v>1736</v>
      </c>
      <c r="B406" s="8" t="s">
        <v>406</v>
      </c>
      <c r="C406" s="8" t="s">
        <v>6</v>
      </c>
      <c r="D406" s="10">
        <v>15.5</v>
      </c>
    </row>
    <row r="407" spans="1:4" ht="15" x14ac:dyDescent="0.2">
      <c r="A407" s="25" t="s">
        <v>1737</v>
      </c>
      <c r="B407" s="8" t="s">
        <v>408</v>
      </c>
      <c r="C407" s="8" t="s">
        <v>6</v>
      </c>
      <c r="D407" s="10">
        <v>21</v>
      </c>
    </row>
    <row r="408" spans="1:4" ht="15" x14ac:dyDescent="0.2">
      <c r="A408" s="25" t="s">
        <v>1738</v>
      </c>
      <c r="B408" s="8" t="s">
        <v>410</v>
      </c>
      <c r="C408" s="8" t="s">
        <v>6</v>
      </c>
      <c r="D408" s="10">
        <v>21</v>
      </c>
    </row>
    <row r="409" spans="1:4" ht="15" x14ac:dyDescent="0.2">
      <c r="A409" s="25" t="s">
        <v>1739</v>
      </c>
      <c r="B409" s="8" t="s">
        <v>412</v>
      </c>
      <c r="C409" s="8" t="s">
        <v>3</v>
      </c>
      <c r="D409" s="10">
        <v>88</v>
      </c>
    </row>
    <row r="410" spans="1:4" ht="15" x14ac:dyDescent="0.2">
      <c r="A410" s="25" t="s">
        <v>1740</v>
      </c>
      <c r="B410" s="8" t="s">
        <v>414</v>
      </c>
      <c r="C410" s="8" t="s">
        <v>6</v>
      </c>
      <c r="D410" s="10">
        <v>9</v>
      </c>
    </row>
    <row r="411" spans="1:4" ht="15" x14ac:dyDescent="0.2">
      <c r="A411" s="25" t="s">
        <v>1741</v>
      </c>
      <c r="B411" s="8" t="s">
        <v>416</v>
      </c>
      <c r="C411" s="8" t="s">
        <v>6</v>
      </c>
      <c r="D411" s="10">
        <v>92</v>
      </c>
    </row>
    <row r="412" spans="1:4" ht="15" x14ac:dyDescent="0.2">
      <c r="A412" s="25" t="s">
        <v>1742</v>
      </c>
      <c r="B412" s="8" t="s">
        <v>418</v>
      </c>
      <c r="C412" s="8" t="s">
        <v>3</v>
      </c>
      <c r="D412" s="10">
        <v>30</v>
      </c>
    </row>
    <row r="413" spans="1:4" ht="15" x14ac:dyDescent="0.2">
      <c r="A413" s="25" t="s">
        <v>1743</v>
      </c>
      <c r="B413" s="8" t="s">
        <v>420</v>
      </c>
      <c r="C413" s="8" t="s">
        <v>6</v>
      </c>
      <c r="D413" s="10">
        <v>29</v>
      </c>
    </row>
    <row r="414" spans="1:4" ht="15" x14ac:dyDescent="0.2">
      <c r="A414" s="25" t="s">
        <v>1744</v>
      </c>
      <c r="B414" s="8" t="s">
        <v>422</v>
      </c>
      <c r="C414" s="8" t="s">
        <v>6</v>
      </c>
      <c r="D414" s="10">
        <v>85</v>
      </c>
    </row>
    <row r="415" spans="1:4" ht="15" x14ac:dyDescent="0.2">
      <c r="A415" s="25" t="s">
        <v>1745</v>
      </c>
      <c r="B415" s="8" t="s">
        <v>424</v>
      </c>
      <c r="C415" s="8" t="s">
        <v>3</v>
      </c>
      <c r="D415" s="10">
        <v>32</v>
      </c>
    </row>
    <row r="416" spans="1:4" ht="15" x14ac:dyDescent="0.2">
      <c r="A416" s="25" t="s">
        <v>1746</v>
      </c>
      <c r="B416" s="8" t="s">
        <v>426</v>
      </c>
      <c r="C416" s="8" t="s">
        <v>6</v>
      </c>
      <c r="D416" s="10">
        <v>32</v>
      </c>
    </row>
    <row r="417" spans="1:4" ht="15" x14ac:dyDescent="0.2">
      <c r="A417" s="25" t="s">
        <v>1747</v>
      </c>
      <c r="B417" s="8" t="s">
        <v>428</v>
      </c>
      <c r="C417" s="8" t="s">
        <v>323</v>
      </c>
      <c r="D417" s="16">
        <v>45</v>
      </c>
    </row>
    <row r="418" spans="1:4" ht="15" x14ac:dyDescent="0.2">
      <c r="A418" s="25" t="s">
        <v>1748</v>
      </c>
      <c r="B418" s="8" t="s">
        <v>429</v>
      </c>
      <c r="C418" s="8" t="s">
        <v>6</v>
      </c>
      <c r="D418" s="29">
        <v>24.5</v>
      </c>
    </row>
    <row r="419" spans="1:4" ht="15" x14ac:dyDescent="0.2">
      <c r="A419" s="25" t="s">
        <v>1749</v>
      </c>
      <c r="B419" s="8" t="s">
        <v>431</v>
      </c>
      <c r="C419" s="8" t="s">
        <v>6</v>
      </c>
      <c r="D419" s="29">
        <v>53</v>
      </c>
    </row>
    <row r="420" spans="1:4" ht="15" x14ac:dyDescent="0.2">
      <c r="A420" s="25" t="s">
        <v>1750</v>
      </c>
      <c r="B420" s="8" t="s">
        <v>433</v>
      </c>
      <c r="C420" s="8" t="s">
        <v>6</v>
      </c>
      <c r="D420" s="29">
        <v>32</v>
      </c>
    </row>
    <row r="421" spans="1:4" ht="15" x14ac:dyDescent="0.2">
      <c r="A421" s="25" t="s">
        <v>1751</v>
      </c>
      <c r="B421" s="8" t="s">
        <v>435</v>
      </c>
      <c r="C421" s="8" t="s">
        <v>6</v>
      </c>
      <c r="D421" s="29">
        <v>37</v>
      </c>
    </row>
    <row r="422" spans="1:4" ht="15" x14ac:dyDescent="0.2">
      <c r="A422" s="25" t="s">
        <v>1752</v>
      </c>
      <c r="B422" s="8" t="s">
        <v>437</v>
      </c>
      <c r="C422" s="8" t="s">
        <v>6</v>
      </c>
      <c r="D422" s="29">
        <v>32</v>
      </c>
    </row>
    <row r="423" spans="1:4" ht="15" x14ac:dyDescent="0.2">
      <c r="A423" s="25" t="s">
        <v>1753</v>
      </c>
      <c r="B423" s="8" t="s">
        <v>439</v>
      </c>
      <c r="C423" s="8" t="s">
        <v>6</v>
      </c>
      <c r="D423" s="29">
        <v>57</v>
      </c>
    </row>
    <row r="424" spans="1:4" ht="15" x14ac:dyDescent="0.2">
      <c r="A424" s="25" t="s">
        <v>1754</v>
      </c>
      <c r="B424" s="8" t="s">
        <v>441</v>
      </c>
      <c r="C424" s="8" t="s">
        <v>6</v>
      </c>
      <c r="D424" s="29">
        <v>41</v>
      </c>
    </row>
    <row r="425" spans="1:4" ht="15" x14ac:dyDescent="0.2">
      <c r="A425" s="25" t="s">
        <v>1755</v>
      </c>
      <c r="B425" s="8" t="s">
        <v>443</v>
      </c>
      <c r="C425" s="8" t="s">
        <v>6</v>
      </c>
      <c r="D425" s="29">
        <v>30</v>
      </c>
    </row>
    <row r="426" spans="1:4" ht="15" x14ac:dyDescent="0.2">
      <c r="A426" s="25" t="s">
        <v>1756</v>
      </c>
      <c r="B426" s="8" t="s">
        <v>445</v>
      </c>
      <c r="C426" s="8" t="s">
        <v>227</v>
      </c>
      <c r="D426" s="29">
        <v>43</v>
      </c>
    </row>
    <row r="427" spans="1:4" ht="15" x14ac:dyDescent="0.2">
      <c r="A427" s="25" t="s">
        <v>1757</v>
      </c>
      <c r="B427" s="8" t="s">
        <v>447</v>
      </c>
      <c r="C427" s="8" t="s">
        <v>6</v>
      </c>
      <c r="D427" s="29">
        <v>26</v>
      </c>
    </row>
    <row r="428" spans="1:4" ht="15" x14ac:dyDescent="0.2">
      <c r="A428" s="25" t="s">
        <v>1758</v>
      </c>
      <c r="B428" s="8" t="s">
        <v>449</v>
      </c>
      <c r="C428" s="8" t="s">
        <v>3</v>
      </c>
      <c r="D428" s="29">
        <v>65</v>
      </c>
    </row>
    <row r="429" spans="1:4" ht="15" x14ac:dyDescent="0.2">
      <c r="A429" s="25" t="s">
        <v>1759</v>
      </c>
      <c r="B429" s="8" t="s">
        <v>452</v>
      </c>
      <c r="C429" s="8" t="s">
        <v>6</v>
      </c>
      <c r="D429" s="29">
        <v>66</v>
      </c>
    </row>
    <row r="430" spans="1:4" ht="15" x14ac:dyDescent="0.2">
      <c r="A430" s="25" t="s">
        <v>1760</v>
      </c>
      <c r="B430" s="8" t="s">
        <v>454</v>
      </c>
      <c r="C430" s="8" t="s">
        <v>6</v>
      </c>
      <c r="D430" s="29">
        <v>68</v>
      </c>
    </row>
    <row r="431" spans="1:4" ht="15" x14ac:dyDescent="0.2">
      <c r="A431" s="25" t="s">
        <v>1761</v>
      </c>
      <c r="B431" s="8" t="s">
        <v>456</v>
      </c>
      <c r="C431" s="8" t="s">
        <v>6</v>
      </c>
      <c r="D431" s="29">
        <v>25</v>
      </c>
    </row>
    <row r="432" spans="1:4" ht="15" x14ac:dyDescent="0.2">
      <c r="A432" s="25" t="s">
        <v>1762</v>
      </c>
      <c r="B432" s="8" t="s">
        <v>458</v>
      </c>
      <c r="C432" s="8" t="s">
        <v>6</v>
      </c>
      <c r="D432" s="29">
        <v>126</v>
      </c>
    </row>
    <row r="433" spans="1:4" ht="15" x14ac:dyDescent="0.2">
      <c r="A433" s="25" t="s">
        <v>1763</v>
      </c>
      <c r="B433" s="8" t="s">
        <v>460</v>
      </c>
      <c r="C433" s="8" t="s">
        <v>6</v>
      </c>
      <c r="D433" s="29">
        <v>42</v>
      </c>
    </row>
    <row r="434" spans="1:4" ht="15" x14ac:dyDescent="0.2">
      <c r="A434" s="25" t="s">
        <v>1764</v>
      </c>
      <c r="B434" s="8" t="s">
        <v>462</v>
      </c>
      <c r="C434" s="8" t="s">
        <v>6</v>
      </c>
      <c r="D434" s="29">
        <v>33</v>
      </c>
    </row>
    <row r="435" spans="1:4" ht="15" x14ac:dyDescent="0.2">
      <c r="A435" s="25" t="s">
        <v>1765</v>
      </c>
      <c r="B435" s="8" t="s">
        <v>464</v>
      </c>
      <c r="C435" s="8" t="s">
        <v>6</v>
      </c>
      <c r="D435" s="29">
        <v>57</v>
      </c>
    </row>
    <row r="436" spans="1:4" ht="15" x14ac:dyDescent="0.2">
      <c r="A436" s="25" t="s">
        <v>1766</v>
      </c>
      <c r="B436" s="8" t="s">
        <v>466</v>
      </c>
      <c r="C436" s="8" t="s">
        <v>6</v>
      </c>
      <c r="D436" s="29">
        <v>50</v>
      </c>
    </row>
    <row r="437" spans="1:4" ht="15" x14ac:dyDescent="0.2">
      <c r="A437" s="25" t="s">
        <v>1767</v>
      </c>
      <c r="B437" s="8" t="s">
        <v>468</v>
      </c>
      <c r="C437" s="8" t="s">
        <v>12</v>
      </c>
      <c r="D437" s="29">
        <v>26.5</v>
      </c>
    </row>
    <row r="438" spans="1:4" ht="15" x14ac:dyDescent="0.2">
      <c r="A438" s="25" t="s">
        <v>1768</v>
      </c>
      <c r="B438" s="8" t="s">
        <v>470</v>
      </c>
      <c r="C438" s="8" t="s">
        <v>3</v>
      </c>
      <c r="D438" s="29">
        <v>42</v>
      </c>
    </row>
    <row r="439" spans="1:4" ht="15" x14ac:dyDescent="0.2">
      <c r="A439" s="25" t="s">
        <v>1769</v>
      </c>
      <c r="B439" s="8" t="s">
        <v>472</v>
      </c>
      <c r="C439" s="8" t="s">
        <v>6</v>
      </c>
      <c r="D439" s="29">
        <v>90</v>
      </c>
    </row>
    <row r="440" spans="1:4" ht="15" x14ac:dyDescent="0.2">
      <c r="A440" s="25" t="s">
        <v>1770</v>
      </c>
      <c r="B440" s="8" t="s">
        <v>474</v>
      </c>
      <c r="C440" s="8" t="s">
        <v>6</v>
      </c>
      <c r="D440" s="29">
        <v>25</v>
      </c>
    </row>
    <row r="441" spans="1:4" ht="15" x14ac:dyDescent="0.2">
      <c r="A441" s="25" t="s">
        <v>1771</v>
      </c>
      <c r="B441" s="8" t="s">
        <v>476</v>
      </c>
      <c r="C441" s="8" t="s">
        <v>6</v>
      </c>
      <c r="D441" s="29">
        <v>152</v>
      </c>
    </row>
    <row r="442" spans="1:4" ht="15" x14ac:dyDescent="0.2">
      <c r="A442" s="25" t="s">
        <v>1772</v>
      </c>
      <c r="B442" s="8" t="s">
        <v>478</v>
      </c>
      <c r="C442" s="8" t="s">
        <v>6</v>
      </c>
      <c r="D442" s="29">
        <v>242</v>
      </c>
    </row>
    <row r="443" spans="1:4" ht="15" x14ac:dyDescent="0.2">
      <c r="A443" s="25" t="s">
        <v>1773</v>
      </c>
      <c r="B443" s="8" t="s">
        <v>480</v>
      </c>
      <c r="C443" s="8" t="s">
        <v>6</v>
      </c>
      <c r="D443" s="29">
        <v>26.5</v>
      </c>
    </row>
    <row r="444" spans="1:4" ht="15" x14ac:dyDescent="0.2">
      <c r="A444" s="25" t="s">
        <v>1774</v>
      </c>
      <c r="B444" s="8" t="s">
        <v>482</v>
      </c>
      <c r="C444" s="8" t="s">
        <v>6</v>
      </c>
      <c r="D444" s="29">
        <v>20</v>
      </c>
    </row>
    <row r="445" spans="1:4" ht="15" x14ac:dyDescent="0.2">
      <c r="A445" s="25" t="s">
        <v>1775</v>
      </c>
      <c r="B445" s="8" t="s">
        <v>484</v>
      </c>
      <c r="C445" s="8" t="s">
        <v>6</v>
      </c>
      <c r="D445" s="29">
        <v>66</v>
      </c>
    </row>
    <row r="446" spans="1:4" ht="15" x14ac:dyDescent="0.2">
      <c r="A446" s="25" t="s">
        <v>1776</v>
      </c>
      <c r="B446" s="8" t="s">
        <v>486</v>
      </c>
      <c r="C446" s="8" t="s">
        <v>6</v>
      </c>
      <c r="D446" s="29">
        <v>31</v>
      </c>
    </row>
    <row r="447" spans="1:4" ht="15" x14ac:dyDescent="0.2">
      <c r="A447" s="25" t="s">
        <v>1777</v>
      </c>
      <c r="B447" s="8" t="s">
        <v>488</v>
      </c>
      <c r="C447" s="8" t="s">
        <v>37</v>
      </c>
      <c r="D447" s="29">
        <v>24</v>
      </c>
    </row>
    <row r="448" spans="1:4" ht="15" x14ac:dyDescent="0.2">
      <c r="A448" s="25" t="s">
        <v>1778</v>
      </c>
      <c r="B448" s="8" t="s">
        <v>490</v>
      </c>
      <c r="C448" s="8" t="s">
        <v>3</v>
      </c>
      <c r="D448" s="29">
        <v>53</v>
      </c>
    </row>
    <row r="449" spans="1:4" ht="15" x14ac:dyDescent="0.2">
      <c r="A449" s="25" t="s">
        <v>1779</v>
      </c>
      <c r="B449" s="8" t="s">
        <v>492</v>
      </c>
      <c r="C449" s="8" t="s">
        <v>6</v>
      </c>
      <c r="D449" s="29">
        <v>109</v>
      </c>
    </row>
    <row r="450" spans="1:4" ht="15" x14ac:dyDescent="0.2">
      <c r="A450" s="25" t="s">
        <v>1780</v>
      </c>
      <c r="B450" s="8" t="s">
        <v>494</v>
      </c>
      <c r="C450" s="8" t="s">
        <v>6</v>
      </c>
      <c r="D450" s="29">
        <v>18</v>
      </c>
    </row>
    <row r="451" spans="1:4" ht="15" x14ac:dyDescent="0.2">
      <c r="A451" s="25" t="s">
        <v>1781</v>
      </c>
      <c r="B451" s="8" t="s">
        <v>496</v>
      </c>
      <c r="C451" s="8" t="s">
        <v>6</v>
      </c>
      <c r="D451" s="29">
        <v>27</v>
      </c>
    </row>
    <row r="452" spans="1:4" ht="15" x14ac:dyDescent="0.2">
      <c r="A452" s="25" t="s">
        <v>1782</v>
      </c>
      <c r="B452" s="8" t="s">
        <v>498</v>
      </c>
      <c r="C452" s="8" t="s">
        <v>6</v>
      </c>
      <c r="D452" s="29">
        <v>101</v>
      </c>
    </row>
    <row r="453" spans="1:4" ht="15" x14ac:dyDescent="0.2">
      <c r="A453" s="25" t="s">
        <v>1783</v>
      </c>
      <c r="B453" s="8" t="s">
        <v>500</v>
      </c>
      <c r="C453" s="8" t="s">
        <v>101</v>
      </c>
      <c r="D453" s="29">
        <v>24</v>
      </c>
    </row>
    <row r="454" spans="1:4" ht="15" x14ac:dyDescent="0.2">
      <c r="A454" s="25" t="s">
        <v>1784</v>
      </c>
      <c r="B454" s="8" t="s">
        <v>502</v>
      </c>
      <c r="C454" s="8" t="s">
        <v>6</v>
      </c>
      <c r="D454" s="29">
        <v>35</v>
      </c>
    </row>
    <row r="455" spans="1:4" ht="15" x14ac:dyDescent="0.2">
      <c r="A455" s="25" t="s">
        <v>1785</v>
      </c>
      <c r="B455" s="8" t="s">
        <v>504</v>
      </c>
      <c r="C455" s="8" t="s">
        <v>6</v>
      </c>
      <c r="D455" s="29">
        <v>149</v>
      </c>
    </row>
    <row r="456" spans="1:4" ht="15" x14ac:dyDescent="0.2">
      <c r="A456" s="25" t="s">
        <v>1786</v>
      </c>
      <c r="B456" s="8" t="s">
        <v>506</v>
      </c>
      <c r="C456" s="8" t="s">
        <v>6</v>
      </c>
      <c r="D456" s="29">
        <v>35</v>
      </c>
    </row>
    <row r="457" spans="1:4" ht="15" x14ac:dyDescent="0.2">
      <c r="A457" s="25" t="s">
        <v>1787</v>
      </c>
      <c r="B457" s="8" t="s">
        <v>508</v>
      </c>
      <c r="C457" s="8" t="s">
        <v>3</v>
      </c>
      <c r="D457" s="29">
        <v>35</v>
      </c>
    </row>
    <row r="458" spans="1:4" ht="15" x14ac:dyDescent="0.2">
      <c r="A458" s="25" t="s">
        <v>1788</v>
      </c>
      <c r="B458" s="8" t="s">
        <v>510</v>
      </c>
      <c r="C458" s="8" t="s">
        <v>6</v>
      </c>
      <c r="D458" s="29">
        <v>54</v>
      </c>
    </row>
    <row r="459" spans="1:4" ht="15" x14ac:dyDescent="0.2">
      <c r="A459" s="25" t="s">
        <v>1789</v>
      </c>
      <c r="B459" s="8" t="s">
        <v>512</v>
      </c>
      <c r="C459" s="8" t="s">
        <v>3</v>
      </c>
      <c r="D459" s="29">
        <v>60</v>
      </c>
    </row>
    <row r="460" spans="1:4" ht="15" x14ac:dyDescent="0.2">
      <c r="A460" s="25" t="s">
        <v>1790</v>
      </c>
      <c r="B460" s="8" t="s">
        <v>514</v>
      </c>
      <c r="C460" s="8" t="s">
        <v>6</v>
      </c>
      <c r="D460" s="29">
        <v>25</v>
      </c>
    </row>
    <row r="461" spans="1:4" ht="15" x14ac:dyDescent="0.2">
      <c r="A461" s="25" t="s">
        <v>1791</v>
      </c>
      <c r="B461" s="8" t="s">
        <v>517</v>
      </c>
      <c r="C461" s="8" t="s">
        <v>6</v>
      </c>
      <c r="D461" s="29">
        <v>30</v>
      </c>
    </row>
    <row r="462" spans="1:4" ht="15" x14ac:dyDescent="0.2">
      <c r="A462" s="25" t="s">
        <v>1792</v>
      </c>
      <c r="B462" s="8" t="s">
        <v>519</v>
      </c>
      <c r="C462" s="8" t="s">
        <v>6</v>
      </c>
      <c r="D462" s="29">
        <v>30</v>
      </c>
    </row>
    <row r="463" spans="1:4" ht="15" x14ac:dyDescent="0.2">
      <c r="A463" s="25" t="s">
        <v>1793</v>
      </c>
      <c r="B463" s="8" t="s">
        <v>521</v>
      </c>
      <c r="C463" s="8" t="s">
        <v>3</v>
      </c>
      <c r="D463" s="29">
        <v>16</v>
      </c>
    </row>
    <row r="464" spans="1:4" ht="15" x14ac:dyDescent="0.2">
      <c r="A464" s="25" t="s">
        <v>1794</v>
      </c>
      <c r="B464" s="8" t="s">
        <v>523</v>
      </c>
      <c r="C464" s="8" t="s">
        <v>6</v>
      </c>
      <c r="D464" s="29">
        <v>41.5</v>
      </c>
    </row>
    <row r="465" spans="1:4" ht="15" x14ac:dyDescent="0.2">
      <c r="A465" s="25" t="s">
        <v>1795</v>
      </c>
      <c r="B465" s="8" t="s">
        <v>525</v>
      </c>
      <c r="C465" s="8" t="s">
        <v>6</v>
      </c>
      <c r="D465" s="29">
        <v>88.4</v>
      </c>
    </row>
    <row r="466" spans="1:4" ht="15" x14ac:dyDescent="0.2">
      <c r="A466" s="25" t="s">
        <v>1796</v>
      </c>
      <c r="B466" s="8" t="s">
        <v>527</v>
      </c>
      <c r="C466" s="8" t="s">
        <v>6</v>
      </c>
      <c r="D466" s="29">
        <v>155</v>
      </c>
    </row>
    <row r="467" spans="1:4" ht="15" x14ac:dyDescent="0.2">
      <c r="A467" s="25" t="s">
        <v>1797</v>
      </c>
      <c r="B467" s="8" t="s">
        <v>529</v>
      </c>
      <c r="C467" s="8" t="s">
        <v>12</v>
      </c>
      <c r="D467" s="29">
        <v>12.5</v>
      </c>
    </row>
    <row r="468" spans="1:4" ht="15" x14ac:dyDescent="0.2">
      <c r="A468" s="25" t="s">
        <v>1798</v>
      </c>
      <c r="B468" s="8" t="s">
        <v>531</v>
      </c>
      <c r="C468" s="8" t="s">
        <v>6</v>
      </c>
      <c r="D468" s="29">
        <v>92</v>
      </c>
    </row>
    <row r="469" spans="1:4" ht="15" x14ac:dyDescent="0.2">
      <c r="A469" s="25" t="s">
        <v>1799</v>
      </c>
      <c r="B469" s="8" t="s">
        <v>533</v>
      </c>
      <c r="C469" s="8" t="s">
        <v>323</v>
      </c>
      <c r="D469" s="30">
        <v>48.5</v>
      </c>
    </row>
    <row r="470" spans="1:4" ht="15" x14ac:dyDescent="0.2">
      <c r="A470" s="25" t="s">
        <v>1800</v>
      </c>
      <c r="B470" s="8" t="s">
        <v>430</v>
      </c>
      <c r="C470" s="8" t="s">
        <v>6</v>
      </c>
      <c r="D470" s="10">
        <v>29.5</v>
      </c>
    </row>
    <row r="471" spans="1:4" ht="15" x14ac:dyDescent="0.2">
      <c r="A471" s="25" t="s">
        <v>1801</v>
      </c>
      <c r="B471" s="8" t="s">
        <v>432</v>
      </c>
      <c r="C471" s="8" t="s">
        <v>3</v>
      </c>
      <c r="D471" s="10">
        <v>13</v>
      </c>
    </row>
    <row r="472" spans="1:4" ht="15" x14ac:dyDescent="0.2">
      <c r="A472" s="25" t="s">
        <v>1802</v>
      </c>
      <c r="B472" s="8" t="s">
        <v>434</v>
      </c>
      <c r="C472" s="8" t="s">
        <v>6</v>
      </c>
      <c r="D472" s="10">
        <v>39</v>
      </c>
    </row>
    <row r="473" spans="1:4" ht="15" x14ac:dyDescent="0.2">
      <c r="A473" s="25" t="s">
        <v>1803</v>
      </c>
      <c r="B473" s="8" t="s">
        <v>436</v>
      </c>
      <c r="C473" s="8" t="s">
        <v>6</v>
      </c>
      <c r="D473" s="10">
        <v>67</v>
      </c>
    </row>
    <row r="474" spans="1:4" ht="15" x14ac:dyDescent="0.2">
      <c r="A474" s="25" t="s">
        <v>1804</v>
      </c>
      <c r="B474" s="8" t="s">
        <v>438</v>
      </c>
      <c r="C474" s="8" t="s">
        <v>6</v>
      </c>
      <c r="D474" s="10">
        <v>90</v>
      </c>
    </row>
    <row r="475" spans="1:4" ht="15" x14ac:dyDescent="0.2">
      <c r="A475" s="25" t="s">
        <v>1805</v>
      </c>
      <c r="B475" s="8" t="s">
        <v>440</v>
      </c>
      <c r="C475" s="8" t="s">
        <v>6</v>
      </c>
      <c r="D475" s="10">
        <v>170</v>
      </c>
    </row>
    <row r="476" spans="1:4" ht="15" x14ac:dyDescent="0.2">
      <c r="A476" s="25" t="s">
        <v>1806</v>
      </c>
      <c r="B476" s="8" t="s">
        <v>442</v>
      </c>
      <c r="C476" s="8" t="s">
        <v>3</v>
      </c>
      <c r="D476" s="10">
        <v>14</v>
      </c>
    </row>
    <row r="477" spans="1:4" ht="15" x14ac:dyDescent="0.2">
      <c r="A477" s="25" t="s">
        <v>1807</v>
      </c>
      <c r="B477" s="8" t="s">
        <v>444</v>
      </c>
      <c r="C477" s="8" t="s">
        <v>6</v>
      </c>
      <c r="D477" s="10">
        <v>56</v>
      </c>
    </row>
    <row r="478" spans="1:4" ht="15" x14ac:dyDescent="0.2">
      <c r="A478" s="25" t="s">
        <v>1808</v>
      </c>
      <c r="B478" s="8" t="s">
        <v>446</v>
      </c>
      <c r="C478" s="8" t="s">
        <v>6</v>
      </c>
      <c r="D478" s="10">
        <v>74</v>
      </c>
    </row>
    <row r="479" spans="1:4" ht="15" x14ac:dyDescent="0.2">
      <c r="A479" s="25" t="s">
        <v>1809</v>
      </c>
      <c r="B479" s="8" t="s">
        <v>448</v>
      </c>
      <c r="C479" s="8" t="s">
        <v>227</v>
      </c>
      <c r="D479" s="10">
        <v>151</v>
      </c>
    </row>
    <row r="480" spans="1:4" ht="15" x14ac:dyDescent="0.2">
      <c r="A480" s="25" t="s">
        <v>1810</v>
      </c>
      <c r="B480" s="8" t="s">
        <v>450</v>
      </c>
      <c r="C480" s="8" t="s">
        <v>451</v>
      </c>
      <c r="D480" s="10">
        <v>155</v>
      </c>
    </row>
    <row r="481" spans="1:4" ht="15" x14ac:dyDescent="0.2">
      <c r="A481" s="25" t="s">
        <v>1811</v>
      </c>
      <c r="B481" s="8" t="s">
        <v>453</v>
      </c>
      <c r="C481" s="8" t="s">
        <v>3</v>
      </c>
      <c r="D481" s="10">
        <v>28</v>
      </c>
    </row>
    <row r="482" spans="1:4" ht="15" x14ac:dyDescent="0.2">
      <c r="A482" s="25" t="s">
        <v>1812</v>
      </c>
      <c r="B482" s="8" t="s">
        <v>455</v>
      </c>
      <c r="C482" s="8" t="s">
        <v>3</v>
      </c>
      <c r="D482" s="10">
        <v>12</v>
      </c>
    </row>
    <row r="483" spans="1:4" ht="15" x14ac:dyDescent="0.2">
      <c r="A483" s="25" t="s">
        <v>1813</v>
      </c>
      <c r="B483" s="8" t="s">
        <v>457</v>
      </c>
      <c r="C483" s="8" t="s">
        <v>6</v>
      </c>
      <c r="D483" s="10">
        <v>45</v>
      </c>
    </row>
    <row r="484" spans="1:4" ht="15" x14ac:dyDescent="0.2">
      <c r="A484" s="25" t="s">
        <v>1814</v>
      </c>
      <c r="B484" s="8" t="s">
        <v>459</v>
      </c>
      <c r="C484" s="8" t="s">
        <v>6</v>
      </c>
      <c r="D484" s="10">
        <v>63</v>
      </c>
    </row>
    <row r="485" spans="1:4" ht="15" x14ac:dyDescent="0.2">
      <c r="A485" s="25" t="s">
        <v>1815</v>
      </c>
      <c r="B485" s="8" t="s">
        <v>461</v>
      </c>
      <c r="C485" s="8" t="s">
        <v>3</v>
      </c>
      <c r="D485" s="10">
        <v>40</v>
      </c>
    </row>
    <row r="486" spans="1:4" ht="15" x14ac:dyDescent="0.2">
      <c r="A486" s="25" t="s">
        <v>1816</v>
      </c>
      <c r="B486" s="8" t="s">
        <v>463</v>
      </c>
      <c r="C486" s="8" t="s">
        <v>3</v>
      </c>
      <c r="D486" s="10">
        <v>34</v>
      </c>
    </row>
    <row r="487" spans="1:4" ht="15" x14ac:dyDescent="0.2">
      <c r="A487" s="25" t="s">
        <v>1817</v>
      </c>
      <c r="B487" s="8" t="s">
        <v>465</v>
      </c>
      <c r="C487" s="8" t="s">
        <v>6</v>
      </c>
      <c r="D487" s="10">
        <v>60</v>
      </c>
    </row>
    <row r="488" spans="1:4" ht="15" x14ac:dyDescent="0.2">
      <c r="A488" s="25" t="s">
        <v>1818</v>
      </c>
      <c r="B488" s="8" t="s">
        <v>467</v>
      </c>
      <c r="C488" s="8" t="s">
        <v>6</v>
      </c>
      <c r="D488" s="10">
        <v>35</v>
      </c>
    </row>
    <row r="489" spans="1:4" ht="15" x14ac:dyDescent="0.2">
      <c r="A489" s="25" t="s">
        <v>1819</v>
      </c>
      <c r="B489" s="8" t="s">
        <v>469</v>
      </c>
      <c r="C489" s="8" t="s">
        <v>6</v>
      </c>
      <c r="D489" s="10">
        <v>15</v>
      </c>
    </row>
    <row r="490" spans="1:4" ht="15" x14ac:dyDescent="0.2">
      <c r="A490" s="25" t="s">
        <v>1820</v>
      </c>
      <c r="B490" s="8" t="s">
        <v>471</v>
      </c>
      <c r="C490" s="8" t="s">
        <v>6</v>
      </c>
      <c r="D490" s="10">
        <v>20</v>
      </c>
    </row>
    <row r="491" spans="1:4" ht="15" x14ac:dyDescent="0.2">
      <c r="A491" s="25" t="s">
        <v>1821</v>
      </c>
      <c r="B491" s="8" t="s">
        <v>473</v>
      </c>
      <c r="C491" s="8" t="s">
        <v>3</v>
      </c>
      <c r="D491" s="10">
        <v>22.5</v>
      </c>
    </row>
    <row r="492" spans="1:4" ht="15" x14ac:dyDescent="0.2">
      <c r="A492" s="25" t="s">
        <v>1822</v>
      </c>
      <c r="B492" s="8" t="s">
        <v>475</v>
      </c>
      <c r="C492" s="8" t="s">
        <v>101</v>
      </c>
      <c r="D492" s="10">
        <v>46.4</v>
      </c>
    </row>
    <row r="493" spans="1:4" ht="15" x14ac:dyDescent="0.2">
      <c r="A493" s="25" t="s">
        <v>1823</v>
      </c>
      <c r="B493" s="8" t="s">
        <v>477</v>
      </c>
      <c r="C493" s="8" t="s">
        <v>3</v>
      </c>
      <c r="D493" s="10">
        <v>24</v>
      </c>
    </row>
    <row r="494" spans="1:4" ht="15" x14ac:dyDescent="0.2">
      <c r="A494" s="25" t="s">
        <v>1824</v>
      </c>
      <c r="B494" s="8" t="s">
        <v>479</v>
      </c>
      <c r="C494" s="8" t="s">
        <v>6</v>
      </c>
      <c r="D494" s="10">
        <v>40</v>
      </c>
    </row>
    <row r="495" spans="1:4" ht="15" x14ac:dyDescent="0.2">
      <c r="A495" s="25" t="s">
        <v>1825</v>
      </c>
      <c r="B495" s="8" t="s">
        <v>481</v>
      </c>
      <c r="C495" s="8" t="s">
        <v>6</v>
      </c>
      <c r="D495" s="10">
        <v>61</v>
      </c>
    </row>
    <row r="496" spans="1:4" ht="15" x14ac:dyDescent="0.2">
      <c r="A496" s="25" t="s">
        <v>1826</v>
      </c>
      <c r="B496" s="8" t="s">
        <v>483</v>
      </c>
      <c r="C496" s="8" t="s">
        <v>6</v>
      </c>
      <c r="D496" s="10">
        <v>145</v>
      </c>
    </row>
    <row r="497" spans="1:4" ht="15" x14ac:dyDescent="0.2">
      <c r="A497" s="25" t="s">
        <v>1827</v>
      </c>
      <c r="B497" s="8" t="s">
        <v>485</v>
      </c>
      <c r="C497" s="8" t="s">
        <v>6</v>
      </c>
      <c r="D497" s="10">
        <v>22</v>
      </c>
    </row>
    <row r="498" spans="1:4" ht="15" x14ac:dyDescent="0.2">
      <c r="A498" s="25" t="s">
        <v>1828</v>
      </c>
      <c r="B498" s="8" t="s">
        <v>487</v>
      </c>
      <c r="C498" s="8" t="s">
        <v>6</v>
      </c>
      <c r="D498" s="10">
        <v>45</v>
      </c>
    </row>
    <row r="499" spans="1:4" ht="15" x14ac:dyDescent="0.2">
      <c r="A499" s="25" t="s">
        <v>1829</v>
      </c>
      <c r="B499" s="8" t="s">
        <v>489</v>
      </c>
      <c r="C499" s="8" t="s">
        <v>6</v>
      </c>
      <c r="D499" s="10">
        <v>12</v>
      </c>
    </row>
    <row r="500" spans="1:4" ht="15" x14ac:dyDescent="0.2">
      <c r="A500" s="25" t="s">
        <v>1830</v>
      </c>
      <c r="B500" s="8" t="s">
        <v>491</v>
      </c>
      <c r="C500" s="8" t="s">
        <v>6</v>
      </c>
      <c r="D500" s="10">
        <v>18</v>
      </c>
    </row>
    <row r="501" spans="1:4" ht="15" x14ac:dyDescent="0.2">
      <c r="A501" s="25" t="s">
        <v>1831</v>
      </c>
      <c r="B501" s="8" t="s">
        <v>493</v>
      </c>
      <c r="C501" s="8" t="s">
        <v>6</v>
      </c>
      <c r="D501" s="10">
        <v>8</v>
      </c>
    </row>
    <row r="502" spans="1:4" ht="15" x14ac:dyDescent="0.2">
      <c r="A502" s="25" t="s">
        <v>1832</v>
      </c>
      <c r="B502" s="8" t="s">
        <v>495</v>
      </c>
      <c r="C502" s="8" t="s">
        <v>6</v>
      </c>
      <c r="D502" s="10">
        <v>60</v>
      </c>
    </row>
    <row r="503" spans="1:4" ht="15" x14ac:dyDescent="0.2">
      <c r="A503" s="25" t="s">
        <v>1833</v>
      </c>
      <c r="B503" s="8" t="s">
        <v>497</v>
      </c>
      <c r="C503" s="8" t="s">
        <v>12</v>
      </c>
      <c r="D503" s="10">
        <v>42.5</v>
      </c>
    </row>
    <row r="504" spans="1:4" ht="15" x14ac:dyDescent="0.2">
      <c r="A504" s="25" t="s">
        <v>1834</v>
      </c>
      <c r="B504" s="8" t="s">
        <v>499</v>
      </c>
      <c r="C504" s="8" t="s">
        <v>12</v>
      </c>
      <c r="D504" s="10">
        <v>11</v>
      </c>
    </row>
    <row r="505" spans="1:4" ht="15" x14ac:dyDescent="0.2">
      <c r="A505" s="25" t="s">
        <v>1835</v>
      </c>
      <c r="B505" s="8" t="s">
        <v>501</v>
      </c>
      <c r="C505" s="8" t="s">
        <v>12</v>
      </c>
      <c r="D505" s="10">
        <v>25.5</v>
      </c>
    </row>
    <row r="506" spans="1:4" ht="15" x14ac:dyDescent="0.2">
      <c r="A506" s="25" t="s">
        <v>1836</v>
      </c>
      <c r="B506" s="8" t="s">
        <v>503</v>
      </c>
      <c r="C506" s="8" t="s">
        <v>6</v>
      </c>
      <c r="D506" s="10">
        <v>4.5</v>
      </c>
    </row>
    <row r="507" spans="1:4" ht="15" x14ac:dyDescent="0.2">
      <c r="A507" s="25" t="s">
        <v>1837</v>
      </c>
      <c r="B507" s="8" t="s">
        <v>505</v>
      </c>
      <c r="C507" s="8" t="s">
        <v>6</v>
      </c>
      <c r="D507" s="10">
        <v>4</v>
      </c>
    </row>
    <row r="508" spans="1:4" ht="15" x14ac:dyDescent="0.2">
      <c r="A508" s="25" t="s">
        <v>1838</v>
      </c>
      <c r="B508" s="8" t="s">
        <v>507</v>
      </c>
      <c r="C508" s="8" t="s">
        <v>6</v>
      </c>
      <c r="D508" s="10">
        <v>42</v>
      </c>
    </row>
    <row r="509" spans="1:4" ht="15" x14ac:dyDescent="0.2">
      <c r="A509" s="25" t="s">
        <v>1839</v>
      </c>
      <c r="B509" s="8" t="s">
        <v>509</v>
      </c>
      <c r="C509" s="8" t="s">
        <v>6</v>
      </c>
      <c r="D509" s="10">
        <v>25.5</v>
      </c>
    </row>
    <row r="510" spans="1:4" ht="15" x14ac:dyDescent="0.2">
      <c r="A510" s="25" t="s">
        <v>1840</v>
      </c>
      <c r="B510" s="8" t="s">
        <v>511</v>
      </c>
      <c r="C510" s="8" t="s">
        <v>6</v>
      </c>
      <c r="D510" s="10">
        <v>132</v>
      </c>
    </row>
    <row r="511" spans="1:4" ht="15" x14ac:dyDescent="0.2">
      <c r="A511" s="25" t="s">
        <v>1841</v>
      </c>
      <c r="B511" s="8" t="s">
        <v>513</v>
      </c>
      <c r="C511" s="8" t="s">
        <v>3</v>
      </c>
      <c r="D511" s="10">
        <v>68.5</v>
      </c>
    </row>
    <row r="512" spans="1:4" ht="15" x14ac:dyDescent="0.2">
      <c r="A512" s="25" t="s">
        <v>1842</v>
      </c>
      <c r="B512" s="8" t="s">
        <v>515</v>
      </c>
      <c r="C512" s="8" t="s">
        <v>516</v>
      </c>
      <c r="D512" s="10">
        <v>5.5</v>
      </c>
    </row>
    <row r="513" spans="1:4" ht="15" x14ac:dyDescent="0.2">
      <c r="A513" s="25" t="s">
        <v>1843</v>
      </c>
      <c r="B513" s="8" t="s">
        <v>518</v>
      </c>
      <c r="C513" s="8" t="s">
        <v>516</v>
      </c>
      <c r="D513" s="10">
        <v>3</v>
      </c>
    </row>
    <row r="514" spans="1:4" ht="15" x14ac:dyDescent="0.2">
      <c r="A514" s="25" t="s">
        <v>1844</v>
      </c>
      <c r="B514" s="8" t="s">
        <v>520</v>
      </c>
      <c r="C514" s="8" t="s">
        <v>3</v>
      </c>
      <c r="D514" s="10">
        <v>39</v>
      </c>
    </row>
    <row r="515" spans="1:4" ht="15" x14ac:dyDescent="0.2">
      <c r="A515" s="25" t="s">
        <v>1845</v>
      </c>
      <c r="B515" s="8" t="s">
        <v>522</v>
      </c>
      <c r="C515" s="8" t="s">
        <v>6</v>
      </c>
      <c r="D515" s="10">
        <v>160</v>
      </c>
    </row>
    <row r="516" spans="1:4" ht="15" x14ac:dyDescent="0.2">
      <c r="A516" s="25" t="s">
        <v>1846</v>
      </c>
      <c r="B516" s="8" t="s">
        <v>524</v>
      </c>
      <c r="C516" s="8" t="s">
        <v>6</v>
      </c>
      <c r="D516" s="10">
        <v>85</v>
      </c>
    </row>
    <row r="517" spans="1:4" ht="15" x14ac:dyDescent="0.2">
      <c r="A517" s="25" t="s">
        <v>1847</v>
      </c>
      <c r="B517" s="8" t="s">
        <v>526</v>
      </c>
      <c r="C517" s="8" t="s">
        <v>6</v>
      </c>
      <c r="D517" s="10">
        <v>79</v>
      </c>
    </row>
    <row r="518" spans="1:4" ht="15" x14ac:dyDescent="0.2">
      <c r="A518" s="25" t="s">
        <v>1848</v>
      </c>
      <c r="B518" s="8" t="s">
        <v>528</v>
      </c>
      <c r="C518" s="8" t="s">
        <v>6</v>
      </c>
      <c r="D518" s="10">
        <v>76</v>
      </c>
    </row>
    <row r="519" spans="1:4" ht="15" x14ac:dyDescent="0.2">
      <c r="A519" s="25" t="s">
        <v>1849</v>
      </c>
      <c r="B519" s="8" t="s">
        <v>530</v>
      </c>
      <c r="C519" s="8" t="s">
        <v>101</v>
      </c>
      <c r="D519" s="10">
        <v>38</v>
      </c>
    </row>
    <row r="520" spans="1:4" ht="15" x14ac:dyDescent="0.2">
      <c r="A520" s="25" t="s">
        <v>1850</v>
      </c>
      <c r="B520" s="8" t="s">
        <v>532</v>
      </c>
      <c r="C520" s="8" t="s">
        <v>6</v>
      </c>
      <c r="D520" s="10">
        <v>48.5</v>
      </c>
    </row>
    <row r="521" spans="1:4" ht="15" x14ac:dyDescent="0.2">
      <c r="A521" s="25" t="s">
        <v>1851</v>
      </c>
      <c r="B521" s="8" t="s">
        <v>534</v>
      </c>
      <c r="C521" s="8" t="s">
        <v>535</v>
      </c>
      <c r="D521" s="16">
        <v>27</v>
      </c>
    </row>
    <row r="522" spans="1:4" ht="15" x14ac:dyDescent="0.2">
      <c r="A522" s="25" t="s">
        <v>1852</v>
      </c>
      <c r="B522" s="7" t="s">
        <v>536</v>
      </c>
      <c r="C522" s="7" t="s">
        <v>6</v>
      </c>
      <c r="D522" s="31">
        <v>159</v>
      </c>
    </row>
    <row r="523" spans="1:4" ht="15" x14ac:dyDescent="0.2">
      <c r="A523" s="25" t="s">
        <v>1853</v>
      </c>
      <c r="B523" s="7" t="s">
        <v>538</v>
      </c>
      <c r="C523" s="7" t="s">
        <v>12</v>
      </c>
      <c r="D523" s="31">
        <v>13.5</v>
      </c>
    </row>
    <row r="524" spans="1:4" ht="15" x14ac:dyDescent="0.2">
      <c r="A524" s="25" t="s">
        <v>1854</v>
      </c>
      <c r="B524" s="7" t="s">
        <v>540</v>
      </c>
      <c r="C524" s="7" t="s">
        <v>101</v>
      </c>
      <c r="D524" s="31">
        <v>182</v>
      </c>
    </row>
    <row r="525" spans="1:4" ht="15" x14ac:dyDescent="0.2">
      <c r="A525" s="25" t="s">
        <v>1855</v>
      </c>
      <c r="B525" s="7" t="s">
        <v>542</v>
      </c>
      <c r="C525" s="7" t="s">
        <v>6</v>
      </c>
      <c r="D525" s="31">
        <v>108</v>
      </c>
    </row>
    <row r="526" spans="1:4" ht="15" x14ac:dyDescent="0.2">
      <c r="A526" s="25" t="s">
        <v>1856</v>
      </c>
      <c r="B526" s="7" t="s">
        <v>544</v>
      </c>
      <c r="C526" s="7" t="s">
        <v>6</v>
      </c>
      <c r="D526" s="31">
        <v>52</v>
      </c>
    </row>
    <row r="527" spans="1:4" ht="15" x14ac:dyDescent="0.2">
      <c r="A527" s="25" t="s">
        <v>1857</v>
      </c>
      <c r="B527" s="7" t="s">
        <v>546</v>
      </c>
      <c r="C527" s="7" t="s">
        <v>3</v>
      </c>
      <c r="D527" s="31">
        <v>180</v>
      </c>
    </row>
    <row r="528" spans="1:4" ht="15" x14ac:dyDescent="0.2">
      <c r="A528" s="25" t="s">
        <v>1858</v>
      </c>
      <c r="B528" s="7" t="s">
        <v>548</v>
      </c>
      <c r="C528" s="7" t="s">
        <v>6</v>
      </c>
      <c r="D528" s="31">
        <v>122</v>
      </c>
    </row>
    <row r="529" spans="1:4" ht="15" x14ac:dyDescent="0.2">
      <c r="A529" s="25" t="s">
        <v>1859</v>
      </c>
      <c r="B529" s="7" t="s">
        <v>550</v>
      </c>
      <c r="C529" s="7" t="s">
        <v>6</v>
      </c>
      <c r="D529" s="31">
        <v>43</v>
      </c>
    </row>
    <row r="530" spans="1:4" ht="15" x14ac:dyDescent="0.2">
      <c r="A530" s="25" t="s">
        <v>1860</v>
      </c>
      <c r="B530" s="7" t="s">
        <v>552</v>
      </c>
      <c r="C530" s="7" t="s">
        <v>6</v>
      </c>
      <c r="D530" s="31">
        <v>48</v>
      </c>
    </row>
    <row r="531" spans="1:4" ht="15" x14ac:dyDescent="0.2">
      <c r="A531" s="25" t="s">
        <v>1861</v>
      </c>
      <c r="B531" s="7" t="s">
        <v>554</v>
      </c>
      <c r="C531" s="7" t="s">
        <v>6</v>
      </c>
      <c r="D531" s="31">
        <v>42</v>
      </c>
    </row>
    <row r="532" spans="1:4" ht="15" x14ac:dyDescent="0.2">
      <c r="A532" s="25" t="s">
        <v>1862</v>
      </c>
      <c r="B532" s="7" t="s">
        <v>556</v>
      </c>
      <c r="C532" s="7" t="s">
        <v>6</v>
      </c>
      <c r="D532" s="31">
        <v>44</v>
      </c>
    </row>
    <row r="533" spans="1:4" ht="15" x14ac:dyDescent="0.2">
      <c r="A533" s="25" t="s">
        <v>1863</v>
      </c>
      <c r="B533" s="7" t="s">
        <v>558</v>
      </c>
      <c r="C533" s="7" t="s">
        <v>6</v>
      </c>
      <c r="D533" s="31">
        <v>39</v>
      </c>
    </row>
    <row r="534" spans="1:4" ht="15" x14ac:dyDescent="0.2">
      <c r="A534" s="25" t="s">
        <v>1864</v>
      </c>
      <c r="B534" s="7" t="s">
        <v>560</v>
      </c>
      <c r="C534" s="7" t="s">
        <v>37</v>
      </c>
      <c r="D534" s="31">
        <v>154</v>
      </c>
    </row>
    <row r="535" spans="1:4" ht="15" x14ac:dyDescent="0.2">
      <c r="A535" s="25" t="s">
        <v>1865</v>
      </c>
      <c r="B535" s="7" t="s">
        <v>562</v>
      </c>
      <c r="C535" s="7" t="s">
        <v>6</v>
      </c>
      <c r="D535" s="31">
        <v>258</v>
      </c>
    </row>
    <row r="536" spans="1:4" ht="15" x14ac:dyDescent="0.2">
      <c r="A536" s="25" t="s">
        <v>1866</v>
      </c>
      <c r="B536" s="7" t="s">
        <v>564</v>
      </c>
      <c r="C536" s="7" t="s">
        <v>6</v>
      </c>
      <c r="D536" s="31">
        <v>147</v>
      </c>
    </row>
    <row r="537" spans="1:4" ht="15" x14ac:dyDescent="0.2">
      <c r="A537" s="25" t="s">
        <v>1867</v>
      </c>
      <c r="B537" s="7" t="s">
        <v>566</v>
      </c>
      <c r="C537" s="7" t="s">
        <v>6</v>
      </c>
      <c r="D537" s="31">
        <v>3.8</v>
      </c>
    </row>
    <row r="538" spans="1:4" ht="15" x14ac:dyDescent="0.2">
      <c r="A538" s="25" t="s">
        <v>1868</v>
      </c>
      <c r="B538" s="7" t="s">
        <v>568</v>
      </c>
      <c r="C538" s="7" t="s">
        <v>3</v>
      </c>
      <c r="D538" s="31">
        <v>5.5</v>
      </c>
    </row>
    <row r="539" spans="1:4" ht="15" x14ac:dyDescent="0.2">
      <c r="A539" s="25" t="s">
        <v>1869</v>
      </c>
      <c r="B539" s="7" t="s">
        <v>570</v>
      </c>
      <c r="C539" s="7" t="s">
        <v>6</v>
      </c>
      <c r="D539" s="31">
        <v>30</v>
      </c>
    </row>
    <row r="540" spans="1:4" ht="15" x14ac:dyDescent="0.2">
      <c r="A540" s="25" t="s">
        <v>1870</v>
      </c>
      <c r="B540" s="7" t="s">
        <v>572</v>
      </c>
      <c r="C540" s="7" t="s">
        <v>6</v>
      </c>
      <c r="D540" s="31">
        <v>70</v>
      </c>
    </row>
    <row r="541" spans="1:4" ht="15" x14ac:dyDescent="0.2">
      <c r="A541" s="25" t="s">
        <v>1871</v>
      </c>
      <c r="B541" s="7" t="s">
        <v>574</v>
      </c>
      <c r="C541" s="7" t="s">
        <v>6</v>
      </c>
      <c r="D541" s="31">
        <v>262</v>
      </c>
    </row>
    <row r="542" spans="1:4" ht="15" x14ac:dyDescent="0.2">
      <c r="A542" s="25" t="s">
        <v>1872</v>
      </c>
      <c r="B542" s="7" t="s">
        <v>576</v>
      </c>
      <c r="C542" s="7" t="s">
        <v>6</v>
      </c>
      <c r="D542" s="31">
        <v>43</v>
      </c>
    </row>
    <row r="543" spans="1:4" ht="15" x14ac:dyDescent="0.2">
      <c r="A543" s="25" t="s">
        <v>1873</v>
      </c>
      <c r="B543" s="7" t="s">
        <v>578</v>
      </c>
      <c r="C543" s="7" t="s">
        <v>6</v>
      </c>
      <c r="D543" s="31">
        <v>25.5</v>
      </c>
    </row>
    <row r="544" spans="1:4" ht="15" x14ac:dyDescent="0.2">
      <c r="A544" s="25" t="s">
        <v>1874</v>
      </c>
      <c r="B544" s="7" t="s">
        <v>580</v>
      </c>
      <c r="C544" s="7" t="s">
        <v>6</v>
      </c>
      <c r="D544" s="31">
        <v>28</v>
      </c>
    </row>
    <row r="545" spans="1:4" ht="15" x14ac:dyDescent="0.2">
      <c r="A545" s="25" t="s">
        <v>1875</v>
      </c>
      <c r="B545" s="7" t="s">
        <v>582</v>
      </c>
      <c r="C545" s="7" t="s">
        <v>6</v>
      </c>
      <c r="D545" s="31">
        <v>30</v>
      </c>
    </row>
    <row r="546" spans="1:4" ht="15" x14ac:dyDescent="0.2">
      <c r="A546" s="25" t="s">
        <v>1876</v>
      </c>
      <c r="B546" s="7" t="s">
        <v>584</v>
      </c>
      <c r="C546" s="7" t="s">
        <v>6</v>
      </c>
      <c r="D546" s="31">
        <v>20</v>
      </c>
    </row>
    <row r="547" spans="1:4" ht="15" x14ac:dyDescent="0.2">
      <c r="A547" s="25" t="s">
        <v>1877</v>
      </c>
      <c r="B547" s="7" t="s">
        <v>586</v>
      </c>
      <c r="C547" s="7" t="s">
        <v>6</v>
      </c>
      <c r="D547" s="31">
        <v>39</v>
      </c>
    </row>
    <row r="548" spans="1:4" ht="15" x14ac:dyDescent="0.2">
      <c r="A548" s="25" t="s">
        <v>1878</v>
      </c>
      <c r="B548" s="7" t="s">
        <v>588</v>
      </c>
      <c r="C548" s="7" t="s">
        <v>6</v>
      </c>
      <c r="D548" s="31">
        <v>105</v>
      </c>
    </row>
    <row r="549" spans="1:4" ht="15" x14ac:dyDescent="0.2">
      <c r="A549" s="25" t="s">
        <v>1879</v>
      </c>
      <c r="B549" s="7" t="s">
        <v>590</v>
      </c>
      <c r="C549" s="7" t="s">
        <v>6</v>
      </c>
      <c r="D549" s="31">
        <v>153</v>
      </c>
    </row>
    <row r="550" spans="1:4" ht="15" x14ac:dyDescent="0.2">
      <c r="A550" s="25" t="s">
        <v>1880</v>
      </c>
      <c r="B550" s="7" t="s">
        <v>592</v>
      </c>
      <c r="C550" s="7" t="s">
        <v>6</v>
      </c>
      <c r="D550" s="31">
        <v>153</v>
      </c>
    </row>
    <row r="551" spans="1:4" ht="15" x14ac:dyDescent="0.2">
      <c r="A551" s="25" t="s">
        <v>1881</v>
      </c>
      <c r="B551" s="7" t="s">
        <v>594</v>
      </c>
      <c r="C551" s="7" t="s">
        <v>3</v>
      </c>
      <c r="D551" s="31">
        <v>44</v>
      </c>
    </row>
    <row r="552" spans="1:4" ht="15" x14ac:dyDescent="0.2">
      <c r="A552" s="25" t="s">
        <v>1882</v>
      </c>
      <c r="B552" s="7" t="s">
        <v>596</v>
      </c>
      <c r="C552" s="7" t="s">
        <v>3</v>
      </c>
      <c r="D552" s="31">
        <v>47</v>
      </c>
    </row>
    <row r="553" spans="1:4" ht="15" x14ac:dyDescent="0.2">
      <c r="A553" s="25" t="s">
        <v>1883</v>
      </c>
      <c r="B553" s="7" t="s">
        <v>598</v>
      </c>
      <c r="C553" s="7" t="s">
        <v>6</v>
      </c>
      <c r="D553" s="31">
        <v>26</v>
      </c>
    </row>
    <row r="554" spans="1:4" ht="15" x14ac:dyDescent="0.2">
      <c r="A554" s="25" t="s">
        <v>1884</v>
      </c>
      <c r="B554" s="7" t="s">
        <v>601</v>
      </c>
      <c r="C554" s="7" t="s">
        <v>12</v>
      </c>
      <c r="D554" s="31">
        <v>18</v>
      </c>
    </row>
    <row r="555" spans="1:4" ht="15" x14ac:dyDescent="0.2">
      <c r="A555" s="25" t="s">
        <v>1885</v>
      </c>
      <c r="B555" s="7" t="s">
        <v>603</v>
      </c>
      <c r="C555" s="7" t="s">
        <v>101</v>
      </c>
      <c r="D555" s="31">
        <v>155</v>
      </c>
    </row>
    <row r="556" spans="1:4" ht="15" x14ac:dyDescent="0.2">
      <c r="A556" s="25" t="s">
        <v>1886</v>
      </c>
      <c r="B556" s="7" t="s">
        <v>606</v>
      </c>
      <c r="C556" s="7" t="s">
        <v>6</v>
      </c>
      <c r="D556" s="31">
        <v>285</v>
      </c>
    </row>
    <row r="557" spans="1:4" ht="15" x14ac:dyDescent="0.2">
      <c r="A557" s="25" t="s">
        <v>1887</v>
      </c>
      <c r="B557" s="7" t="s">
        <v>609</v>
      </c>
      <c r="C557" s="7" t="s">
        <v>3</v>
      </c>
      <c r="D557" s="31">
        <v>32</v>
      </c>
    </row>
    <row r="558" spans="1:4" ht="15" x14ac:dyDescent="0.2">
      <c r="A558" s="25" t="s">
        <v>1888</v>
      </c>
      <c r="B558" s="7" t="s">
        <v>611</v>
      </c>
      <c r="C558" s="7" t="s">
        <v>6</v>
      </c>
      <c r="D558" s="31">
        <v>135</v>
      </c>
    </row>
    <row r="559" spans="1:4" ht="15" x14ac:dyDescent="0.2">
      <c r="A559" s="25" t="s">
        <v>1889</v>
      </c>
      <c r="B559" s="7" t="s">
        <v>613</v>
      </c>
      <c r="C559" s="7" t="s">
        <v>12</v>
      </c>
      <c r="D559" s="31">
        <v>7.4</v>
      </c>
    </row>
    <row r="560" spans="1:4" ht="15" x14ac:dyDescent="0.2">
      <c r="A560" s="25" t="s">
        <v>1890</v>
      </c>
      <c r="B560" s="7" t="s">
        <v>615</v>
      </c>
      <c r="C560" s="7" t="s">
        <v>6</v>
      </c>
      <c r="D560" s="31">
        <v>31</v>
      </c>
    </row>
    <row r="561" spans="1:4" ht="15" x14ac:dyDescent="0.2">
      <c r="A561" s="25" t="s">
        <v>1891</v>
      </c>
      <c r="B561" s="7" t="s">
        <v>617</v>
      </c>
      <c r="C561" s="7" t="s">
        <v>6</v>
      </c>
      <c r="D561" s="31">
        <v>190</v>
      </c>
    </row>
    <row r="562" spans="1:4" ht="15" x14ac:dyDescent="0.2">
      <c r="A562" s="25" t="s">
        <v>1892</v>
      </c>
      <c r="B562" s="7" t="s">
        <v>619</v>
      </c>
      <c r="C562" s="7" t="s">
        <v>6</v>
      </c>
      <c r="D562" s="31">
        <v>28</v>
      </c>
    </row>
    <row r="563" spans="1:4" ht="15" x14ac:dyDescent="0.2">
      <c r="A563" s="25" t="s">
        <v>1893</v>
      </c>
      <c r="B563" s="7" t="s">
        <v>621</v>
      </c>
      <c r="C563" s="7" t="s">
        <v>3</v>
      </c>
      <c r="D563" s="31">
        <v>11.8</v>
      </c>
    </row>
    <row r="564" spans="1:4" ht="15" x14ac:dyDescent="0.2">
      <c r="A564" s="25" t="s">
        <v>1894</v>
      </c>
      <c r="B564" s="7" t="s">
        <v>623</v>
      </c>
      <c r="C564" s="7" t="s">
        <v>3</v>
      </c>
      <c r="D564" s="31">
        <v>19.600000000000001</v>
      </c>
    </row>
    <row r="565" spans="1:4" ht="15" x14ac:dyDescent="0.2">
      <c r="A565" s="25" t="s">
        <v>1895</v>
      </c>
      <c r="B565" s="7" t="s">
        <v>625</v>
      </c>
      <c r="C565" s="7" t="s">
        <v>3</v>
      </c>
      <c r="D565" s="31">
        <v>5.5</v>
      </c>
    </row>
    <row r="566" spans="1:4" ht="15" x14ac:dyDescent="0.2">
      <c r="A566" s="25" t="s">
        <v>1896</v>
      </c>
      <c r="B566" s="7" t="s">
        <v>627</v>
      </c>
      <c r="C566" s="7" t="s">
        <v>6</v>
      </c>
      <c r="D566" s="31">
        <v>18</v>
      </c>
    </row>
    <row r="567" spans="1:4" ht="15" x14ac:dyDescent="0.2">
      <c r="A567" s="25" t="s">
        <v>1897</v>
      </c>
      <c r="B567" s="7" t="s">
        <v>629</v>
      </c>
      <c r="C567" s="7" t="s">
        <v>6</v>
      </c>
      <c r="D567" s="31">
        <v>93</v>
      </c>
    </row>
    <row r="568" spans="1:4" ht="15" x14ac:dyDescent="0.2">
      <c r="A568" s="25" t="s">
        <v>1898</v>
      </c>
      <c r="B568" s="7" t="s">
        <v>631</v>
      </c>
      <c r="C568" s="7" t="s">
        <v>6</v>
      </c>
      <c r="D568" s="31">
        <v>39</v>
      </c>
    </row>
    <row r="569" spans="1:4" ht="15" x14ac:dyDescent="0.2">
      <c r="A569" s="25" t="s">
        <v>1899</v>
      </c>
      <c r="B569" s="7" t="s">
        <v>633</v>
      </c>
      <c r="C569" s="7" t="s">
        <v>6</v>
      </c>
      <c r="D569" s="31">
        <v>37</v>
      </c>
    </row>
    <row r="570" spans="1:4" ht="15" x14ac:dyDescent="0.2">
      <c r="A570" s="25" t="s">
        <v>1900</v>
      </c>
      <c r="B570" s="7" t="s">
        <v>635</v>
      </c>
      <c r="C570" s="7" t="s">
        <v>3</v>
      </c>
      <c r="D570" s="31">
        <v>76</v>
      </c>
    </row>
    <row r="571" spans="1:4" ht="15" x14ac:dyDescent="0.2">
      <c r="A571" s="25" t="s">
        <v>1901</v>
      </c>
      <c r="B571" s="7" t="s">
        <v>637</v>
      </c>
      <c r="C571" s="7" t="s">
        <v>6</v>
      </c>
      <c r="D571" s="31">
        <v>74</v>
      </c>
    </row>
    <row r="572" spans="1:4" ht="15" x14ac:dyDescent="0.2">
      <c r="A572" s="25" t="s">
        <v>1902</v>
      </c>
      <c r="B572" s="7" t="s">
        <v>639</v>
      </c>
      <c r="C572" s="7" t="s">
        <v>6</v>
      </c>
      <c r="D572" s="31">
        <v>54</v>
      </c>
    </row>
    <row r="573" spans="1:4" ht="15" x14ac:dyDescent="0.2">
      <c r="A573" s="25" t="s">
        <v>1903</v>
      </c>
      <c r="B573" s="7" t="s">
        <v>641</v>
      </c>
      <c r="C573" s="7" t="s">
        <v>323</v>
      </c>
      <c r="D573" s="32">
        <v>24</v>
      </c>
    </row>
    <row r="574" spans="1:4" ht="15" x14ac:dyDescent="0.2">
      <c r="A574" s="25" t="s">
        <v>1904</v>
      </c>
      <c r="B574" s="7" t="s">
        <v>537</v>
      </c>
      <c r="C574" s="7" t="s">
        <v>3</v>
      </c>
      <c r="D574" s="9">
        <v>33</v>
      </c>
    </row>
    <row r="575" spans="1:4" ht="15" x14ac:dyDescent="0.2">
      <c r="A575" s="25" t="s">
        <v>1905</v>
      </c>
      <c r="B575" s="7" t="s">
        <v>539</v>
      </c>
      <c r="C575" s="7" t="s">
        <v>6</v>
      </c>
      <c r="D575" s="9">
        <v>158</v>
      </c>
    </row>
    <row r="576" spans="1:4" ht="15" x14ac:dyDescent="0.2">
      <c r="A576" s="25" t="s">
        <v>1906</v>
      </c>
      <c r="B576" s="7" t="s">
        <v>541</v>
      </c>
      <c r="C576" s="7" t="s">
        <v>6</v>
      </c>
      <c r="D576" s="9">
        <v>54</v>
      </c>
    </row>
    <row r="577" spans="1:4" ht="15" x14ac:dyDescent="0.2">
      <c r="A577" s="25" t="s">
        <v>1907</v>
      </c>
      <c r="B577" s="7" t="s">
        <v>543</v>
      </c>
      <c r="C577" s="7" t="s">
        <v>6</v>
      </c>
      <c r="D577" s="9">
        <v>47</v>
      </c>
    </row>
    <row r="578" spans="1:4" ht="15" x14ac:dyDescent="0.2">
      <c r="A578" s="25" t="s">
        <v>1908</v>
      </c>
      <c r="B578" s="7" t="s">
        <v>545</v>
      </c>
      <c r="C578" s="7" t="s">
        <v>6</v>
      </c>
      <c r="D578" s="9">
        <v>29</v>
      </c>
    </row>
    <row r="579" spans="1:4" ht="15" x14ac:dyDescent="0.2">
      <c r="A579" s="25" t="s">
        <v>1909</v>
      </c>
      <c r="B579" s="7" t="s">
        <v>547</v>
      </c>
      <c r="C579" s="7" t="s">
        <v>6</v>
      </c>
      <c r="D579" s="9">
        <v>30.5</v>
      </c>
    </row>
    <row r="580" spans="1:4" ht="15" x14ac:dyDescent="0.2">
      <c r="A580" s="25" t="s">
        <v>1910</v>
      </c>
      <c r="B580" s="7" t="s">
        <v>549</v>
      </c>
      <c r="C580" s="7" t="s">
        <v>6</v>
      </c>
      <c r="D580" s="9">
        <v>39</v>
      </c>
    </row>
    <row r="581" spans="1:4" ht="15" x14ac:dyDescent="0.2">
      <c r="A581" s="25" t="s">
        <v>1911</v>
      </c>
      <c r="B581" s="7" t="s">
        <v>551</v>
      </c>
      <c r="C581" s="7" t="s">
        <v>3</v>
      </c>
      <c r="D581" s="9">
        <v>18</v>
      </c>
    </row>
    <row r="582" spans="1:4" ht="15" x14ac:dyDescent="0.2">
      <c r="A582" s="25" t="s">
        <v>1912</v>
      </c>
      <c r="B582" s="7" t="s">
        <v>553</v>
      </c>
      <c r="C582" s="7" t="s">
        <v>6</v>
      </c>
      <c r="D582" s="9">
        <v>20</v>
      </c>
    </row>
    <row r="583" spans="1:4" ht="15" x14ac:dyDescent="0.2">
      <c r="A583" s="25" t="s">
        <v>1913</v>
      </c>
      <c r="B583" s="7" t="s">
        <v>555</v>
      </c>
      <c r="C583" s="7" t="s">
        <v>6</v>
      </c>
      <c r="D583" s="9">
        <v>45</v>
      </c>
    </row>
    <row r="584" spans="1:4" ht="15" x14ac:dyDescent="0.2">
      <c r="A584" s="25" t="s">
        <v>1914</v>
      </c>
      <c r="B584" s="7" t="s">
        <v>557</v>
      </c>
      <c r="C584" s="7" t="s">
        <v>6</v>
      </c>
      <c r="D584" s="9">
        <v>31</v>
      </c>
    </row>
    <row r="585" spans="1:4" ht="15" x14ac:dyDescent="0.2">
      <c r="A585" s="25" t="s">
        <v>1915</v>
      </c>
      <c r="B585" s="7" t="s">
        <v>559</v>
      </c>
      <c r="C585" s="7" t="s">
        <v>3</v>
      </c>
      <c r="D585" s="9">
        <v>47</v>
      </c>
    </row>
    <row r="586" spans="1:4" ht="15" x14ac:dyDescent="0.2">
      <c r="A586" s="25" t="s">
        <v>1916</v>
      </c>
      <c r="B586" s="7" t="s">
        <v>561</v>
      </c>
      <c r="C586" s="7" t="s">
        <v>6</v>
      </c>
      <c r="D586" s="9">
        <v>25</v>
      </c>
    </row>
    <row r="587" spans="1:4" ht="15" x14ac:dyDescent="0.2">
      <c r="A587" s="25" t="s">
        <v>1917</v>
      </c>
      <c r="B587" s="7" t="s">
        <v>563</v>
      </c>
      <c r="C587" s="7" t="s">
        <v>6</v>
      </c>
      <c r="D587" s="9">
        <v>50</v>
      </c>
    </row>
    <row r="588" spans="1:4" ht="15" x14ac:dyDescent="0.2">
      <c r="A588" s="25" t="s">
        <v>1918</v>
      </c>
      <c r="B588" s="7" t="s">
        <v>565</v>
      </c>
      <c r="C588" s="7" t="s">
        <v>6</v>
      </c>
      <c r="D588" s="9">
        <v>21.5</v>
      </c>
    </row>
    <row r="589" spans="1:4" ht="15" x14ac:dyDescent="0.2">
      <c r="A589" s="25" t="s">
        <v>1919</v>
      </c>
      <c r="B589" s="7" t="s">
        <v>567</v>
      </c>
      <c r="C589" s="7" t="s">
        <v>6</v>
      </c>
      <c r="D589" s="9">
        <v>32</v>
      </c>
    </row>
    <row r="590" spans="1:4" ht="15" x14ac:dyDescent="0.2">
      <c r="A590" s="25" t="s">
        <v>1920</v>
      </c>
      <c r="B590" s="7" t="s">
        <v>569</v>
      </c>
      <c r="C590" s="7" t="s">
        <v>6</v>
      </c>
      <c r="D590" s="9">
        <v>56</v>
      </c>
    </row>
    <row r="591" spans="1:4" ht="15" x14ac:dyDescent="0.2">
      <c r="A591" s="25" t="s">
        <v>1921</v>
      </c>
      <c r="B591" s="7" t="s">
        <v>571</v>
      </c>
      <c r="C591" s="7" t="s">
        <v>6</v>
      </c>
      <c r="D591" s="9">
        <v>39</v>
      </c>
    </row>
    <row r="592" spans="1:4" ht="15" x14ac:dyDescent="0.2">
      <c r="A592" s="25" t="s">
        <v>1922</v>
      </c>
      <c r="B592" s="7" t="s">
        <v>573</v>
      </c>
      <c r="C592" s="7" t="s">
        <v>6</v>
      </c>
      <c r="D592" s="9">
        <v>47</v>
      </c>
    </row>
    <row r="593" spans="1:4" ht="15" x14ac:dyDescent="0.2">
      <c r="A593" s="25" t="s">
        <v>1923</v>
      </c>
      <c r="B593" s="7" t="s">
        <v>575</v>
      </c>
      <c r="C593" s="7" t="s">
        <v>6</v>
      </c>
      <c r="D593" s="9">
        <v>22.5</v>
      </c>
    </row>
    <row r="594" spans="1:4" ht="15" x14ac:dyDescent="0.2">
      <c r="A594" s="25" t="s">
        <v>1924</v>
      </c>
      <c r="B594" s="7" t="s">
        <v>577</v>
      </c>
      <c r="C594" s="7" t="s">
        <v>6</v>
      </c>
      <c r="D594" s="9">
        <v>25</v>
      </c>
    </row>
    <row r="595" spans="1:4" ht="15" x14ac:dyDescent="0.2">
      <c r="A595" s="25" t="s">
        <v>1925</v>
      </c>
      <c r="B595" s="7" t="s">
        <v>579</v>
      </c>
      <c r="C595" s="7" t="s">
        <v>6</v>
      </c>
      <c r="D595" s="9">
        <v>165</v>
      </c>
    </row>
    <row r="596" spans="1:4" ht="15" x14ac:dyDescent="0.2">
      <c r="A596" s="25" t="s">
        <v>1926</v>
      </c>
      <c r="B596" s="7" t="s">
        <v>581</v>
      </c>
      <c r="C596" s="7" t="s">
        <v>3</v>
      </c>
      <c r="D596" s="9">
        <v>210</v>
      </c>
    </row>
    <row r="597" spans="1:4" ht="15" x14ac:dyDescent="0.2">
      <c r="A597" s="25" t="s">
        <v>1927</v>
      </c>
      <c r="B597" s="7" t="s">
        <v>583</v>
      </c>
      <c r="C597" s="7" t="s">
        <v>6</v>
      </c>
      <c r="D597" s="9">
        <v>18.5</v>
      </c>
    </row>
    <row r="598" spans="1:4" ht="15" x14ac:dyDescent="0.2">
      <c r="A598" s="25" t="s">
        <v>1928</v>
      </c>
      <c r="B598" s="7" t="s">
        <v>585</v>
      </c>
      <c r="C598" s="7" t="s">
        <v>3</v>
      </c>
      <c r="D598" s="9">
        <v>77</v>
      </c>
    </row>
    <row r="599" spans="1:4" ht="15" x14ac:dyDescent="0.2">
      <c r="A599" s="25" t="s">
        <v>1929</v>
      </c>
      <c r="B599" s="7" t="s">
        <v>587</v>
      </c>
      <c r="C599" s="7" t="s">
        <v>37</v>
      </c>
      <c r="D599" s="9">
        <v>138</v>
      </c>
    </row>
    <row r="600" spans="1:4" ht="15" x14ac:dyDescent="0.2">
      <c r="A600" s="25" t="s">
        <v>1930</v>
      </c>
      <c r="B600" s="7" t="s">
        <v>589</v>
      </c>
      <c r="C600" s="7" t="s">
        <v>6</v>
      </c>
      <c r="D600" s="9">
        <v>91</v>
      </c>
    </row>
    <row r="601" spans="1:4" ht="15" x14ac:dyDescent="0.2">
      <c r="A601" s="25" t="s">
        <v>1931</v>
      </c>
      <c r="B601" s="7" t="s">
        <v>591</v>
      </c>
      <c r="C601" s="7" t="s">
        <v>6</v>
      </c>
      <c r="D601" s="9">
        <v>51</v>
      </c>
    </row>
    <row r="602" spans="1:4" ht="15" x14ac:dyDescent="0.2">
      <c r="A602" s="25" t="s">
        <v>1932</v>
      </c>
      <c r="B602" s="7" t="s">
        <v>593</v>
      </c>
      <c r="C602" s="7" t="s">
        <v>3</v>
      </c>
      <c r="D602" s="9">
        <v>50</v>
      </c>
    </row>
    <row r="603" spans="1:4" ht="15" x14ac:dyDescent="0.2">
      <c r="A603" s="25" t="s">
        <v>1933</v>
      </c>
      <c r="B603" s="7" t="s">
        <v>595</v>
      </c>
      <c r="C603" s="7" t="s">
        <v>6</v>
      </c>
      <c r="D603" s="9">
        <v>40</v>
      </c>
    </row>
    <row r="604" spans="1:4" ht="15" x14ac:dyDescent="0.2">
      <c r="A604" s="25" t="s">
        <v>1934</v>
      </c>
      <c r="B604" s="7" t="s">
        <v>597</v>
      </c>
      <c r="C604" s="7" t="s">
        <v>6</v>
      </c>
      <c r="D604" s="9">
        <v>80</v>
      </c>
    </row>
    <row r="605" spans="1:4" ht="15" x14ac:dyDescent="0.2">
      <c r="A605" s="25" t="s">
        <v>1935</v>
      </c>
      <c r="B605" s="7" t="s">
        <v>599</v>
      </c>
      <c r="C605" s="18" t="s">
        <v>600</v>
      </c>
      <c r="D605" s="9">
        <v>20</v>
      </c>
    </row>
    <row r="606" spans="1:4" ht="15" x14ac:dyDescent="0.2">
      <c r="A606" s="25" t="s">
        <v>1936</v>
      </c>
      <c r="B606" s="7" t="s">
        <v>602</v>
      </c>
      <c r="C606" s="7" t="s">
        <v>6</v>
      </c>
      <c r="D606" s="9">
        <v>103</v>
      </c>
    </row>
    <row r="607" spans="1:4" ht="15" x14ac:dyDescent="0.2">
      <c r="A607" s="25" t="s">
        <v>1937</v>
      </c>
      <c r="B607" s="7" t="s">
        <v>604</v>
      </c>
      <c r="C607" s="7" t="s">
        <v>605</v>
      </c>
      <c r="D607" s="9">
        <v>78</v>
      </c>
    </row>
    <row r="608" spans="1:4" ht="15" x14ac:dyDescent="0.2">
      <c r="A608" s="25" t="s">
        <v>1938</v>
      </c>
      <c r="B608" s="7" t="s">
        <v>607</v>
      </c>
      <c r="C608" s="7" t="s">
        <v>608</v>
      </c>
      <c r="D608" s="9">
        <v>22</v>
      </c>
    </row>
    <row r="609" spans="1:4" ht="15" x14ac:dyDescent="0.2">
      <c r="A609" s="25" t="s">
        <v>1939</v>
      </c>
      <c r="B609" s="7" t="s">
        <v>610</v>
      </c>
      <c r="C609" s="7" t="s">
        <v>3</v>
      </c>
      <c r="D609" s="9">
        <v>30</v>
      </c>
    </row>
    <row r="610" spans="1:4" ht="15" x14ac:dyDescent="0.2">
      <c r="A610" s="25" t="s">
        <v>1940</v>
      </c>
      <c r="B610" s="7" t="s">
        <v>612</v>
      </c>
      <c r="C610" s="7" t="s">
        <v>3</v>
      </c>
      <c r="D610" s="9">
        <v>34.5</v>
      </c>
    </row>
    <row r="611" spans="1:4" ht="15" x14ac:dyDescent="0.2">
      <c r="A611" s="25" t="s">
        <v>1941</v>
      </c>
      <c r="B611" s="7" t="s">
        <v>614</v>
      </c>
      <c r="C611" s="7" t="s">
        <v>3</v>
      </c>
      <c r="D611" s="9">
        <v>27</v>
      </c>
    </row>
    <row r="612" spans="1:4" ht="15" x14ac:dyDescent="0.2">
      <c r="A612" s="25" t="s">
        <v>1942</v>
      </c>
      <c r="B612" s="7" t="s">
        <v>616</v>
      </c>
      <c r="C612" s="7" t="s">
        <v>3</v>
      </c>
      <c r="D612" s="9">
        <v>25</v>
      </c>
    </row>
    <row r="613" spans="1:4" ht="15" x14ac:dyDescent="0.2">
      <c r="A613" s="25" t="s">
        <v>1943</v>
      </c>
      <c r="B613" s="7" t="s">
        <v>618</v>
      </c>
      <c r="C613" s="7" t="s">
        <v>3</v>
      </c>
      <c r="D613" s="9">
        <v>30</v>
      </c>
    </row>
    <row r="614" spans="1:4" ht="15" x14ac:dyDescent="0.2">
      <c r="A614" s="25" t="s">
        <v>1944</v>
      </c>
      <c r="B614" s="7" t="s">
        <v>620</v>
      </c>
      <c r="C614" s="7" t="s">
        <v>6</v>
      </c>
      <c r="D614" s="9">
        <v>152</v>
      </c>
    </row>
    <row r="615" spans="1:4" ht="15" x14ac:dyDescent="0.2">
      <c r="A615" s="25" t="s">
        <v>1945</v>
      </c>
      <c r="B615" s="7" t="s">
        <v>622</v>
      </c>
      <c r="C615" s="7" t="s">
        <v>3</v>
      </c>
      <c r="D615" s="9">
        <v>25.8</v>
      </c>
    </row>
    <row r="616" spans="1:4" ht="15" x14ac:dyDescent="0.2">
      <c r="A616" s="25" t="s">
        <v>1946</v>
      </c>
      <c r="B616" s="7" t="s">
        <v>624</v>
      </c>
      <c r="C616" s="7" t="s">
        <v>6</v>
      </c>
      <c r="D616" s="9">
        <v>152</v>
      </c>
    </row>
    <row r="617" spans="1:4" ht="15" x14ac:dyDescent="0.2">
      <c r="A617" s="25" t="s">
        <v>1947</v>
      </c>
      <c r="B617" s="7" t="s">
        <v>626</v>
      </c>
      <c r="C617" s="7" t="s">
        <v>6</v>
      </c>
      <c r="D617" s="9">
        <v>121</v>
      </c>
    </row>
    <row r="618" spans="1:4" ht="15" x14ac:dyDescent="0.2">
      <c r="A618" s="25" t="s">
        <v>1948</v>
      </c>
      <c r="B618" s="7" t="s">
        <v>628</v>
      </c>
      <c r="C618" s="7" t="s">
        <v>6</v>
      </c>
      <c r="D618" s="9">
        <v>152</v>
      </c>
    </row>
    <row r="619" spans="1:4" ht="15" x14ac:dyDescent="0.2">
      <c r="A619" s="25" t="s">
        <v>1949</v>
      </c>
      <c r="B619" s="7" t="s">
        <v>630</v>
      </c>
      <c r="C619" s="7" t="s">
        <v>6</v>
      </c>
      <c r="D619" s="9">
        <v>200</v>
      </c>
    </row>
    <row r="620" spans="1:4" ht="15" x14ac:dyDescent="0.2">
      <c r="A620" s="25" t="s">
        <v>1950</v>
      </c>
      <c r="B620" s="7" t="s">
        <v>632</v>
      </c>
      <c r="C620" s="7" t="s">
        <v>6</v>
      </c>
      <c r="D620" s="9">
        <v>87</v>
      </c>
    </row>
    <row r="621" spans="1:4" ht="15" x14ac:dyDescent="0.2">
      <c r="A621" s="25" t="s">
        <v>1951</v>
      </c>
      <c r="B621" s="7" t="s">
        <v>634</v>
      </c>
      <c r="C621" s="7" t="s">
        <v>6</v>
      </c>
      <c r="D621" s="9">
        <v>20</v>
      </c>
    </row>
    <row r="622" spans="1:4" ht="15" x14ac:dyDescent="0.2">
      <c r="A622" s="25" t="s">
        <v>1952</v>
      </c>
      <c r="B622" s="7" t="s">
        <v>636</v>
      </c>
      <c r="C622" s="7" t="s">
        <v>6</v>
      </c>
      <c r="D622" s="9">
        <v>35</v>
      </c>
    </row>
    <row r="623" spans="1:4" ht="15" x14ac:dyDescent="0.2">
      <c r="A623" s="25" t="s">
        <v>1953</v>
      </c>
      <c r="B623" s="7" t="s">
        <v>638</v>
      </c>
      <c r="C623" s="7" t="s">
        <v>6</v>
      </c>
      <c r="D623" s="9">
        <v>37</v>
      </c>
    </row>
    <row r="624" spans="1:4" ht="15" x14ac:dyDescent="0.2">
      <c r="A624" s="25" t="s">
        <v>1954</v>
      </c>
      <c r="B624" s="7" t="s">
        <v>640</v>
      </c>
      <c r="C624" s="7" t="s">
        <v>3</v>
      </c>
      <c r="D624" s="9">
        <v>43</v>
      </c>
    </row>
    <row r="625" spans="1:4" ht="15" x14ac:dyDescent="0.2">
      <c r="A625" s="25" t="s">
        <v>1955</v>
      </c>
      <c r="B625" s="7" t="s">
        <v>642</v>
      </c>
      <c r="C625" s="7" t="s">
        <v>323</v>
      </c>
      <c r="D625" s="15">
        <v>10.5</v>
      </c>
    </row>
    <row r="626" spans="1:4" ht="15" x14ac:dyDescent="0.2">
      <c r="A626" s="25" t="s">
        <v>1956</v>
      </c>
      <c r="B626" s="7" t="s">
        <v>643</v>
      </c>
      <c r="C626" s="7" t="s">
        <v>6</v>
      </c>
      <c r="D626" s="31">
        <v>40</v>
      </c>
    </row>
    <row r="627" spans="1:4" ht="15" x14ac:dyDescent="0.2">
      <c r="A627" s="25" t="s">
        <v>1957</v>
      </c>
      <c r="B627" s="7" t="s">
        <v>645</v>
      </c>
      <c r="C627" s="7" t="s">
        <v>6</v>
      </c>
      <c r="D627" s="31">
        <v>42</v>
      </c>
    </row>
    <row r="628" spans="1:4" ht="15" x14ac:dyDescent="0.2">
      <c r="A628" s="25" t="s">
        <v>1958</v>
      </c>
      <c r="B628" s="7" t="s">
        <v>647</v>
      </c>
      <c r="C628" s="7" t="s">
        <v>6</v>
      </c>
      <c r="D628" s="31">
        <v>53</v>
      </c>
    </row>
    <row r="629" spans="1:4" ht="15" x14ac:dyDescent="0.2">
      <c r="A629" s="25" t="s">
        <v>1959</v>
      </c>
      <c r="B629" s="7" t="s">
        <v>649</v>
      </c>
      <c r="C629" s="7" t="s">
        <v>6</v>
      </c>
      <c r="D629" s="31">
        <v>62</v>
      </c>
    </row>
    <row r="630" spans="1:4" ht="15" x14ac:dyDescent="0.2">
      <c r="A630" s="25" t="s">
        <v>1960</v>
      </c>
      <c r="B630" s="7" t="s">
        <v>651</v>
      </c>
      <c r="C630" s="7" t="s">
        <v>6</v>
      </c>
      <c r="D630" s="31">
        <v>190</v>
      </c>
    </row>
    <row r="631" spans="1:4" ht="15" x14ac:dyDescent="0.2">
      <c r="A631" s="25" t="s">
        <v>1961</v>
      </c>
      <c r="B631" s="7" t="s">
        <v>653</v>
      </c>
      <c r="C631" s="7" t="s">
        <v>6</v>
      </c>
      <c r="D631" s="31">
        <v>212</v>
      </c>
    </row>
    <row r="632" spans="1:4" ht="15" x14ac:dyDescent="0.2">
      <c r="A632" s="25" t="s">
        <v>1962</v>
      </c>
      <c r="B632" s="7" t="s">
        <v>655</v>
      </c>
      <c r="C632" s="7" t="s">
        <v>6</v>
      </c>
      <c r="D632" s="31">
        <v>18</v>
      </c>
    </row>
    <row r="633" spans="1:4" ht="15" x14ac:dyDescent="0.2">
      <c r="A633" s="25" t="s">
        <v>1963</v>
      </c>
      <c r="B633" s="7" t="s">
        <v>657</v>
      </c>
      <c r="C633" s="7" t="s">
        <v>3</v>
      </c>
      <c r="D633" s="31">
        <v>61</v>
      </c>
    </row>
    <row r="634" spans="1:4" ht="15" x14ac:dyDescent="0.2">
      <c r="A634" s="25" t="s">
        <v>1964</v>
      </c>
      <c r="B634" s="7" t="s">
        <v>659</v>
      </c>
      <c r="C634" s="7" t="s">
        <v>3</v>
      </c>
      <c r="D634" s="31">
        <v>50</v>
      </c>
    </row>
    <row r="635" spans="1:4" ht="15" x14ac:dyDescent="0.2">
      <c r="A635" s="25" t="s">
        <v>1965</v>
      </c>
      <c r="B635" s="7" t="s">
        <v>661</v>
      </c>
      <c r="C635" s="7" t="s">
        <v>6</v>
      </c>
      <c r="D635" s="31">
        <v>186</v>
      </c>
    </row>
    <row r="636" spans="1:4" ht="15" x14ac:dyDescent="0.2">
      <c r="A636" s="25" t="s">
        <v>1966</v>
      </c>
      <c r="B636" s="7" t="s">
        <v>663</v>
      </c>
      <c r="C636" s="7" t="s">
        <v>6</v>
      </c>
      <c r="D636" s="31">
        <v>190</v>
      </c>
    </row>
    <row r="637" spans="1:4" ht="15" x14ac:dyDescent="0.2">
      <c r="A637" s="25" t="s">
        <v>1967</v>
      </c>
      <c r="B637" s="7" t="s">
        <v>665</v>
      </c>
      <c r="C637" s="7" t="s">
        <v>6</v>
      </c>
      <c r="D637" s="31">
        <v>195</v>
      </c>
    </row>
    <row r="638" spans="1:4" ht="15" x14ac:dyDescent="0.2">
      <c r="A638" s="25" t="s">
        <v>1968</v>
      </c>
      <c r="B638" s="7" t="s">
        <v>667</v>
      </c>
      <c r="C638" s="7" t="s">
        <v>6</v>
      </c>
      <c r="D638" s="31">
        <v>4.7</v>
      </c>
    </row>
    <row r="639" spans="1:4" ht="15" x14ac:dyDescent="0.2">
      <c r="A639" s="25" t="s">
        <v>1969</v>
      </c>
      <c r="B639" s="7" t="s">
        <v>669</v>
      </c>
      <c r="C639" s="7" t="s">
        <v>3</v>
      </c>
      <c r="D639" s="31">
        <v>45</v>
      </c>
    </row>
    <row r="640" spans="1:4" ht="15" x14ac:dyDescent="0.2">
      <c r="A640" s="25" t="s">
        <v>1970</v>
      </c>
      <c r="B640" s="7" t="s">
        <v>671</v>
      </c>
      <c r="C640" s="7" t="s">
        <v>6</v>
      </c>
      <c r="D640" s="31">
        <v>190</v>
      </c>
    </row>
    <row r="641" spans="1:4" ht="15" x14ac:dyDescent="0.2">
      <c r="A641" s="25" t="s">
        <v>1971</v>
      </c>
      <c r="B641" s="7" t="s">
        <v>673</v>
      </c>
      <c r="C641" s="7" t="s">
        <v>3</v>
      </c>
      <c r="D641" s="31">
        <v>20</v>
      </c>
    </row>
    <row r="642" spans="1:4" ht="15" x14ac:dyDescent="0.2">
      <c r="A642" s="25" t="s">
        <v>1972</v>
      </c>
      <c r="B642" s="7" t="s">
        <v>675</v>
      </c>
      <c r="C642" s="7" t="s">
        <v>6</v>
      </c>
      <c r="D642" s="31">
        <v>89</v>
      </c>
    </row>
    <row r="643" spans="1:4" ht="15" x14ac:dyDescent="0.2">
      <c r="A643" s="25" t="s">
        <v>1973</v>
      </c>
      <c r="B643" s="7" t="s">
        <v>677</v>
      </c>
      <c r="C643" s="7" t="s">
        <v>6</v>
      </c>
      <c r="D643" s="31">
        <v>48</v>
      </c>
    </row>
    <row r="644" spans="1:4" ht="15" x14ac:dyDescent="0.2">
      <c r="A644" s="25" t="s">
        <v>1974</v>
      </c>
      <c r="B644" s="7" t="s">
        <v>679</v>
      </c>
      <c r="C644" s="7" t="s">
        <v>6</v>
      </c>
      <c r="D644" s="31">
        <v>39</v>
      </c>
    </row>
    <row r="645" spans="1:4" ht="15" x14ac:dyDescent="0.2">
      <c r="A645" s="25" t="s">
        <v>1975</v>
      </c>
      <c r="B645" s="7" t="s">
        <v>681</v>
      </c>
      <c r="C645" s="7" t="s">
        <v>3</v>
      </c>
      <c r="D645" s="31">
        <v>54</v>
      </c>
    </row>
    <row r="646" spans="1:4" ht="15" x14ac:dyDescent="0.2">
      <c r="A646" s="25" t="s">
        <v>1976</v>
      </c>
      <c r="B646" s="7" t="s">
        <v>683</v>
      </c>
      <c r="C646" s="7" t="s">
        <v>3</v>
      </c>
      <c r="D646" s="31">
        <v>36</v>
      </c>
    </row>
    <row r="647" spans="1:4" ht="15" x14ac:dyDescent="0.2">
      <c r="A647" s="25" t="s">
        <v>1977</v>
      </c>
      <c r="B647" s="7" t="s">
        <v>685</v>
      </c>
      <c r="C647" s="7" t="s">
        <v>6</v>
      </c>
      <c r="D647" s="31">
        <v>43</v>
      </c>
    </row>
    <row r="648" spans="1:4" ht="15" x14ac:dyDescent="0.2">
      <c r="A648" s="25" t="s">
        <v>1978</v>
      </c>
      <c r="B648" s="7" t="s">
        <v>687</v>
      </c>
      <c r="C648" s="7" t="s">
        <v>37</v>
      </c>
      <c r="D648" s="31">
        <v>86</v>
      </c>
    </row>
    <row r="649" spans="1:4" ht="15" x14ac:dyDescent="0.2">
      <c r="A649" s="25" t="s">
        <v>1979</v>
      </c>
      <c r="B649" s="7" t="s">
        <v>689</v>
      </c>
      <c r="C649" s="7" t="s">
        <v>3</v>
      </c>
      <c r="D649" s="31">
        <v>19.5</v>
      </c>
    </row>
    <row r="650" spans="1:4" ht="15" x14ac:dyDescent="0.2">
      <c r="A650" s="25" t="s">
        <v>1980</v>
      </c>
      <c r="B650" s="7" t="s">
        <v>691</v>
      </c>
      <c r="C650" s="7" t="s">
        <v>6</v>
      </c>
      <c r="D650" s="31">
        <v>234</v>
      </c>
    </row>
    <row r="651" spans="1:4" ht="15" x14ac:dyDescent="0.2">
      <c r="A651" s="25" t="s">
        <v>1981</v>
      </c>
      <c r="B651" s="7" t="s">
        <v>693</v>
      </c>
      <c r="C651" s="7" t="s">
        <v>12</v>
      </c>
      <c r="D651" s="31">
        <v>54</v>
      </c>
    </row>
    <row r="652" spans="1:4" ht="15" x14ac:dyDescent="0.2">
      <c r="A652" s="25" t="s">
        <v>1982</v>
      </c>
      <c r="B652" s="7" t="s">
        <v>695</v>
      </c>
      <c r="C652" s="7" t="s">
        <v>12</v>
      </c>
      <c r="D652" s="31">
        <v>13.5</v>
      </c>
    </row>
    <row r="653" spans="1:4" ht="15" x14ac:dyDescent="0.2">
      <c r="A653" s="25" t="s">
        <v>1983</v>
      </c>
      <c r="B653" s="7" t="s">
        <v>697</v>
      </c>
      <c r="C653" s="7" t="s">
        <v>12</v>
      </c>
      <c r="D653" s="31">
        <v>32</v>
      </c>
    </row>
    <row r="654" spans="1:4" ht="15" x14ac:dyDescent="0.2">
      <c r="A654" s="25" t="s">
        <v>1984</v>
      </c>
      <c r="B654" s="7" t="s">
        <v>699</v>
      </c>
      <c r="C654" s="7" t="s">
        <v>3</v>
      </c>
      <c r="D654" s="31">
        <v>4.5</v>
      </c>
    </row>
    <row r="655" spans="1:4" ht="15" x14ac:dyDescent="0.2">
      <c r="A655" s="25" t="s">
        <v>1985</v>
      </c>
      <c r="B655" s="7" t="s">
        <v>701</v>
      </c>
      <c r="C655" s="7" t="s">
        <v>37</v>
      </c>
      <c r="D655" s="31">
        <v>84</v>
      </c>
    </row>
    <row r="656" spans="1:4" ht="15" x14ac:dyDescent="0.2">
      <c r="A656" s="25" t="s">
        <v>1986</v>
      </c>
      <c r="B656" s="7" t="s">
        <v>703</v>
      </c>
      <c r="C656" s="7" t="s">
        <v>6</v>
      </c>
      <c r="D656" s="31">
        <v>142.4</v>
      </c>
    </row>
    <row r="657" spans="1:4" ht="15" x14ac:dyDescent="0.2">
      <c r="A657" s="25" t="s">
        <v>1987</v>
      </c>
      <c r="B657" s="7" t="s">
        <v>705</v>
      </c>
      <c r="C657" s="7" t="s">
        <v>6</v>
      </c>
      <c r="D657" s="31">
        <v>42</v>
      </c>
    </row>
    <row r="658" spans="1:4" ht="15" x14ac:dyDescent="0.2">
      <c r="A658" s="25" t="s">
        <v>1988</v>
      </c>
      <c r="B658" s="7" t="s">
        <v>707</v>
      </c>
      <c r="C658" s="7" t="s">
        <v>6</v>
      </c>
      <c r="D658" s="31">
        <v>42</v>
      </c>
    </row>
    <row r="659" spans="1:4" ht="15" x14ac:dyDescent="0.2">
      <c r="A659" s="25" t="s">
        <v>1989</v>
      </c>
      <c r="B659" s="7" t="s">
        <v>709</v>
      </c>
      <c r="C659" s="7" t="s">
        <v>6</v>
      </c>
      <c r="D659" s="31">
        <v>54</v>
      </c>
    </row>
    <row r="660" spans="1:4" ht="15" x14ac:dyDescent="0.2">
      <c r="A660" s="25" t="s">
        <v>1990</v>
      </c>
      <c r="B660" s="7" t="s">
        <v>711</v>
      </c>
      <c r="C660" s="7" t="s">
        <v>6</v>
      </c>
      <c r="D660" s="31">
        <v>175</v>
      </c>
    </row>
    <row r="661" spans="1:4" ht="15" x14ac:dyDescent="0.2">
      <c r="A661" s="25" t="s">
        <v>1991</v>
      </c>
      <c r="B661" s="7" t="s">
        <v>713</v>
      </c>
      <c r="C661" s="7" t="s">
        <v>6</v>
      </c>
      <c r="D661" s="31">
        <v>26</v>
      </c>
    </row>
    <row r="662" spans="1:4" ht="15" x14ac:dyDescent="0.2">
      <c r="A662" s="25" t="s">
        <v>1992</v>
      </c>
      <c r="B662" s="7" t="s">
        <v>716</v>
      </c>
      <c r="C662" s="7" t="s">
        <v>6</v>
      </c>
      <c r="D662" s="31">
        <v>25</v>
      </c>
    </row>
    <row r="663" spans="1:4" ht="15" x14ac:dyDescent="0.2">
      <c r="A663" s="25" t="s">
        <v>1993</v>
      </c>
      <c r="B663" s="7" t="s">
        <v>718</v>
      </c>
      <c r="C663" s="7" t="s">
        <v>227</v>
      </c>
      <c r="D663" s="31">
        <v>19</v>
      </c>
    </row>
    <row r="664" spans="1:4" ht="15" x14ac:dyDescent="0.2">
      <c r="A664" s="25" t="s">
        <v>1994</v>
      </c>
      <c r="B664" s="7" t="s">
        <v>720</v>
      </c>
      <c r="C664" s="7" t="s">
        <v>6</v>
      </c>
      <c r="D664" s="31">
        <v>38</v>
      </c>
    </row>
    <row r="665" spans="1:4" ht="15" x14ac:dyDescent="0.2">
      <c r="A665" s="25" t="s">
        <v>1995</v>
      </c>
      <c r="B665" s="7" t="s">
        <v>722</v>
      </c>
      <c r="C665" s="7" t="s">
        <v>516</v>
      </c>
      <c r="D665" s="31">
        <v>17.5</v>
      </c>
    </row>
    <row r="666" spans="1:4" ht="15" x14ac:dyDescent="0.2">
      <c r="A666" s="25" t="s">
        <v>1996</v>
      </c>
      <c r="B666" s="7" t="s">
        <v>724</v>
      </c>
      <c r="C666" s="7" t="s">
        <v>37</v>
      </c>
      <c r="D666" s="31">
        <v>53.4</v>
      </c>
    </row>
    <row r="667" spans="1:4" ht="15" x14ac:dyDescent="0.2">
      <c r="A667" s="25" t="s">
        <v>1997</v>
      </c>
      <c r="B667" s="7" t="s">
        <v>726</v>
      </c>
      <c r="C667" s="7" t="s">
        <v>37</v>
      </c>
      <c r="D667" s="31">
        <v>65</v>
      </c>
    </row>
    <row r="668" spans="1:4" ht="15" x14ac:dyDescent="0.2">
      <c r="A668" s="25" t="s">
        <v>1998</v>
      </c>
      <c r="B668" s="7" t="s">
        <v>728</v>
      </c>
      <c r="C668" s="7" t="s">
        <v>6</v>
      </c>
      <c r="D668" s="31">
        <v>32</v>
      </c>
    </row>
    <row r="669" spans="1:4" ht="15" x14ac:dyDescent="0.2">
      <c r="A669" s="25" t="s">
        <v>1999</v>
      </c>
      <c r="B669" s="7" t="s">
        <v>730</v>
      </c>
      <c r="C669" s="7" t="s">
        <v>6</v>
      </c>
      <c r="D669" s="31">
        <v>60</v>
      </c>
    </row>
    <row r="670" spans="1:4" ht="15" x14ac:dyDescent="0.2">
      <c r="A670" s="25" t="s">
        <v>2000</v>
      </c>
      <c r="B670" s="7" t="s">
        <v>732</v>
      </c>
      <c r="C670" s="7" t="s">
        <v>6</v>
      </c>
      <c r="D670" s="31">
        <v>97</v>
      </c>
    </row>
    <row r="671" spans="1:4" ht="15" x14ac:dyDescent="0.2">
      <c r="A671" s="25" t="s">
        <v>2001</v>
      </c>
      <c r="B671" s="7" t="s">
        <v>734</v>
      </c>
      <c r="C671" s="7" t="s">
        <v>6</v>
      </c>
      <c r="D671" s="31">
        <v>92</v>
      </c>
    </row>
    <row r="672" spans="1:4" ht="15" x14ac:dyDescent="0.2">
      <c r="A672" s="25" t="s">
        <v>2002</v>
      </c>
      <c r="B672" s="7" t="s">
        <v>736</v>
      </c>
      <c r="C672" s="7" t="s">
        <v>101</v>
      </c>
      <c r="D672" s="31">
        <v>156</v>
      </c>
    </row>
    <row r="673" spans="1:4" ht="15" x14ac:dyDescent="0.2">
      <c r="A673" s="25" t="s">
        <v>2003</v>
      </c>
      <c r="B673" s="7" t="s">
        <v>738</v>
      </c>
      <c r="C673" s="7" t="s">
        <v>6</v>
      </c>
      <c r="D673" s="31">
        <v>533</v>
      </c>
    </row>
    <row r="674" spans="1:4" ht="15" x14ac:dyDescent="0.2">
      <c r="A674" s="25" t="s">
        <v>2004</v>
      </c>
      <c r="B674" s="7" t="s">
        <v>740</v>
      </c>
      <c r="C674" s="7" t="s">
        <v>3</v>
      </c>
      <c r="D674" s="31">
        <v>50</v>
      </c>
    </row>
    <row r="675" spans="1:4" ht="15" x14ac:dyDescent="0.2">
      <c r="A675" s="25" t="s">
        <v>2005</v>
      </c>
      <c r="B675" s="7" t="s">
        <v>742</v>
      </c>
      <c r="C675" s="7" t="s">
        <v>3</v>
      </c>
      <c r="D675" s="31">
        <v>51</v>
      </c>
    </row>
    <row r="676" spans="1:4" ht="15" x14ac:dyDescent="0.2">
      <c r="A676" s="25" t="s">
        <v>2006</v>
      </c>
      <c r="B676" s="7" t="s">
        <v>744</v>
      </c>
      <c r="C676" s="7" t="s">
        <v>6</v>
      </c>
      <c r="D676" s="31">
        <v>209</v>
      </c>
    </row>
    <row r="677" spans="1:4" ht="15" x14ac:dyDescent="0.2">
      <c r="A677" s="25" t="s">
        <v>2007</v>
      </c>
      <c r="B677" s="7" t="s">
        <v>746</v>
      </c>
      <c r="C677" s="7" t="s">
        <v>323</v>
      </c>
      <c r="D677" s="32">
        <v>152</v>
      </c>
    </row>
    <row r="678" spans="1:4" ht="15" x14ac:dyDescent="0.2">
      <c r="A678" s="25" t="s">
        <v>2008</v>
      </c>
      <c r="B678" s="7" t="s">
        <v>644</v>
      </c>
      <c r="C678" s="19" t="s">
        <v>6</v>
      </c>
      <c r="D678" s="9">
        <v>35</v>
      </c>
    </row>
    <row r="679" spans="1:4" ht="15" x14ac:dyDescent="0.2">
      <c r="A679" s="25" t="s">
        <v>2009</v>
      </c>
      <c r="B679" s="7" t="s">
        <v>646</v>
      </c>
      <c r="C679" s="19" t="s">
        <v>6</v>
      </c>
      <c r="D679" s="9">
        <v>145</v>
      </c>
    </row>
    <row r="680" spans="1:4" ht="15" x14ac:dyDescent="0.2">
      <c r="A680" s="25" t="s">
        <v>2010</v>
      </c>
      <c r="B680" s="7" t="s">
        <v>648</v>
      </c>
      <c r="C680" s="19" t="s">
        <v>3</v>
      </c>
      <c r="D680" s="9">
        <v>51</v>
      </c>
    </row>
    <row r="681" spans="1:4" ht="15" x14ac:dyDescent="0.2">
      <c r="A681" s="25" t="s">
        <v>2011</v>
      </c>
      <c r="B681" s="7" t="s">
        <v>650</v>
      </c>
      <c r="C681" s="19" t="s">
        <v>6</v>
      </c>
      <c r="D681" s="9">
        <v>190</v>
      </c>
    </row>
    <row r="682" spans="1:4" ht="15" x14ac:dyDescent="0.2">
      <c r="A682" s="25" t="s">
        <v>2012</v>
      </c>
      <c r="B682" s="7" t="s">
        <v>652</v>
      </c>
      <c r="C682" s="19" t="s">
        <v>6</v>
      </c>
      <c r="D682" s="9">
        <v>190</v>
      </c>
    </row>
    <row r="683" spans="1:4" ht="15" x14ac:dyDescent="0.2">
      <c r="A683" s="25" t="s">
        <v>2013</v>
      </c>
      <c r="B683" s="7" t="s">
        <v>654</v>
      </c>
      <c r="C683" s="19" t="s">
        <v>3</v>
      </c>
      <c r="D683" s="9">
        <v>10</v>
      </c>
    </row>
    <row r="684" spans="1:4" ht="15" x14ac:dyDescent="0.2">
      <c r="A684" s="25" t="s">
        <v>2014</v>
      </c>
      <c r="B684" s="7" t="s">
        <v>656</v>
      </c>
      <c r="C684" s="19" t="s">
        <v>3</v>
      </c>
      <c r="D684" s="9">
        <v>49</v>
      </c>
    </row>
    <row r="685" spans="1:4" ht="15" x14ac:dyDescent="0.2">
      <c r="A685" s="25" t="s">
        <v>2015</v>
      </c>
      <c r="B685" s="7" t="s">
        <v>658</v>
      </c>
      <c r="C685" s="19" t="s">
        <v>3</v>
      </c>
      <c r="D685" s="9">
        <v>49</v>
      </c>
    </row>
    <row r="686" spans="1:4" ht="15" x14ac:dyDescent="0.2">
      <c r="A686" s="25" t="s">
        <v>2016</v>
      </c>
      <c r="B686" s="7" t="s">
        <v>660</v>
      </c>
      <c r="C686" s="19" t="s">
        <v>3</v>
      </c>
      <c r="D686" s="9">
        <v>40</v>
      </c>
    </row>
    <row r="687" spans="1:4" ht="15" x14ac:dyDescent="0.2">
      <c r="A687" s="25" t="s">
        <v>2017</v>
      </c>
      <c r="B687" s="7" t="s">
        <v>662</v>
      </c>
      <c r="C687" s="19" t="s">
        <v>6</v>
      </c>
      <c r="D687" s="9">
        <v>183</v>
      </c>
    </row>
    <row r="688" spans="1:4" ht="15" x14ac:dyDescent="0.2">
      <c r="A688" s="25" t="s">
        <v>2018</v>
      </c>
      <c r="B688" s="7" t="s">
        <v>664</v>
      </c>
      <c r="C688" s="19" t="s">
        <v>6</v>
      </c>
      <c r="D688" s="9">
        <v>18</v>
      </c>
    </row>
    <row r="689" spans="1:4" ht="15" x14ac:dyDescent="0.2">
      <c r="A689" s="25" t="s">
        <v>2019</v>
      </c>
      <c r="B689" s="7" t="s">
        <v>666</v>
      </c>
      <c r="C689" s="19" t="s">
        <v>6</v>
      </c>
      <c r="D689" s="9">
        <v>102</v>
      </c>
    </row>
    <row r="690" spans="1:4" ht="15" x14ac:dyDescent="0.2">
      <c r="A690" s="25" t="s">
        <v>2020</v>
      </c>
      <c r="B690" s="7" t="s">
        <v>668</v>
      </c>
      <c r="C690" s="19" t="s">
        <v>6</v>
      </c>
      <c r="D690" s="9">
        <v>129</v>
      </c>
    </row>
    <row r="691" spans="1:4" ht="15" x14ac:dyDescent="0.2">
      <c r="A691" s="25" t="s">
        <v>2021</v>
      </c>
      <c r="B691" s="7" t="s">
        <v>670</v>
      </c>
      <c r="C691" s="19" t="s">
        <v>6</v>
      </c>
      <c r="D691" s="9">
        <v>65</v>
      </c>
    </row>
    <row r="692" spans="1:4" ht="15" x14ac:dyDescent="0.2">
      <c r="A692" s="25" t="s">
        <v>2022</v>
      </c>
      <c r="B692" s="7" t="s">
        <v>672</v>
      </c>
      <c r="C692" s="19" t="s">
        <v>6</v>
      </c>
      <c r="D692" s="9">
        <v>88</v>
      </c>
    </row>
    <row r="693" spans="1:4" ht="15" x14ac:dyDescent="0.2">
      <c r="A693" s="25" t="s">
        <v>2023</v>
      </c>
      <c r="B693" s="7" t="s">
        <v>674</v>
      </c>
      <c r="C693" s="20" t="s">
        <v>45</v>
      </c>
      <c r="D693" s="9">
        <v>95</v>
      </c>
    </row>
    <row r="694" spans="1:4" ht="15" x14ac:dyDescent="0.2">
      <c r="A694" s="25" t="s">
        <v>2024</v>
      </c>
      <c r="B694" s="7" t="s">
        <v>676</v>
      </c>
      <c r="C694" s="20" t="s">
        <v>45</v>
      </c>
      <c r="D694" s="9">
        <v>74</v>
      </c>
    </row>
    <row r="695" spans="1:4" ht="15" x14ac:dyDescent="0.2">
      <c r="A695" s="25" t="s">
        <v>2025</v>
      </c>
      <c r="B695" s="7" t="s">
        <v>678</v>
      </c>
      <c r="C695" s="19" t="s">
        <v>3</v>
      </c>
      <c r="D695" s="9">
        <v>35.799999999999997</v>
      </c>
    </row>
    <row r="696" spans="1:4" ht="15" x14ac:dyDescent="0.2">
      <c r="A696" s="25" t="s">
        <v>2026</v>
      </c>
      <c r="B696" s="7" t="s">
        <v>680</v>
      </c>
      <c r="C696" s="19" t="s">
        <v>6</v>
      </c>
      <c r="D696" s="9">
        <v>48</v>
      </c>
    </row>
    <row r="697" spans="1:4" ht="15" x14ac:dyDescent="0.2">
      <c r="A697" s="25" t="s">
        <v>2027</v>
      </c>
      <c r="B697" s="7" t="s">
        <v>682</v>
      </c>
      <c r="C697" s="19" t="s">
        <v>6</v>
      </c>
      <c r="D697" s="9">
        <v>26</v>
      </c>
    </row>
    <row r="698" spans="1:4" ht="15" x14ac:dyDescent="0.2">
      <c r="A698" s="25" t="s">
        <v>2028</v>
      </c>
      <c r="B698" s="7" t="s">
        <v>684</v>
      </c>
      <c r="C698" s="19" t="s">
        <v>6</v>
      </c>
      <c r="D698" s="9">
        <v>57</v>
      </c>
    </row>
    <row r="699" spans="1:4" ht="15" x14ac:dyDescent="0.2">
      <c r="A699" s="25" t="s">
        <v>2029</v>
      </c>
      <c r="B699" s="7" t="s">
        <v>686</v>
      </c>
      <c r="C699" s="19" t="s">
        <v>3</v>
      </c>
      <c r="D699" s="9">
        <v>59.5</v>
      </c>
    </row>
    <row r="700" spans="1:4" ht="15" x14ac:dyDescent="0.2">
      <c r="A700" s="25" t="s">
        <v>2030</v>
      </c>
      <c r="B700" s="7" t="s">
        <v>688</v>
      </c>
      <c r="C700" s="19" t="s">
        <v>3</v>
      </c>
      <c r="D700" s="9">
        <v>31.5</v>
      </c>
    </row>
    <row r="701" spans="1:4" ht="15" x14ac:dyDescent="0.2">
      <c r="A701" s="25" t="s">
        <v>2031</v>
      </c>
      <c r="B701" s="7" t="s">
        <v>690</v>
      </c>
      <c r="C701" s="19" t="s">
        <v>600</v>
      </c>
      <c r="D701" s="9">
        <v>9</v>
      </c>
    </row>
    <row r="702" spans="1:4" ht="15" x14ac:dyDescent="0.2">
      <c r="A702" s="25" t="s">
        <v>2032</v>
      </c>
      <c r="B702" s="7" t="s">
        <v>692</v>
      </c>
      <c r="C702" s="20" t="s">
        <v>12</v>
      </c>
      <c r="D702" s="9">
        <v>10.7</v>
      </c>
    </row>
    <row r="703" spans="1:4" ht="15" x14ac:dyDescent="0.2">
      <c r="A703" s="25" t="s">
        <v>2033</v>
      </c>
      <c r="B703" s="7" t="s">
        <v>694</v>
      </c>
      <c r="C703" s="19" t="s">
        <v>6</v>
      </c>
      <c r="D703" s="9">
        <v>62</v>
      </c>
    </row>
    <row r="704" spans="1:4" ht="15" x14ac:dyDescent="0.2">
      <c r="A704" s="25" t="s">
        <v>2034</v>
      </c>
      <c r="B704" s="7" t="s">
        <v>696</v>
      </c>
      <c r="C704" s="19" t="s">
        <v>6</v>
      </c>
      <c r="D704" s="9">
        <v>56</v>
      </c>
    </row>
    <row r="705" spans="1:4" ht="15" x14ac:dyDescent="0.2">
      <c r="A705" s="25" t="s">
        <v>2035</v>
      </c>
      <c r="B705" s="7" t="s">
        <v>698</v>
      </c>
      <c r="C705" s="20" t="s">
        <v>12</v>
      </c>
      <c r="D705" s="9">
        <v>15.5</v>
      </c>
    </row>
    <row r="706" spans="1:4" ht="15" x14ac:dyDescent="0.2">
      <c r="A706" s="25" t="s">
        <v>2036</v>
      </c>
      <c r="B706" s="7" t="s">
        <v>700</v>
      </c>
      <c r="C706" s="19" t="s">
        <v>6</v>
      </c>
      <c r="D706" s="9">
        <v>206</v>
      </c>
    </row>
    <row r="707" spans="1:4" ht="15" x14ac:dyDescent="0.2">
      <c r="A707" s="25" t="s">
        <v>2037</v>
      </c>
      <c r="B707" s="7" t="s">
        <v>702</v>
      </c>
      <c r="C707" s="19" t="s">
        <v>6</v>
      </c>
      <c r="D707" s="9">
        <v>149</v>
      </c>
    </row>
    <row r="708" spans="1:4" ht="15" x14ac:dyDescent="0.2">
      <c r="A708" s="25" t="s">
        <v>2038</v>
      </c>
      <c r="B708" s="7" t="s">
        <v>704</v>
      </c>
      <c r="C708" s="19" t="s">
        <v>6</v>
      </c>
      <c r="D708" s="9">
        <v>88</v>
      </c>
    </row>
    <row r="709" spans="1:4" ht="15" x14ac:dyDescent="0.2">
      <c r="A709" s="25" t="s">
        <v>2039</v>
      </c>
      <c r="B709" s="7" t="s">
        <v>706</v>
      </c>
      <c r="C709" s="19" t="s">
        <v>6</v>
      </c>
      <c r="D709" s="9">
        <v>174</v>
      </c>
    </row>
    <row r="710" spans="1:4" ht="15" x14ac:dyDescent="0.2">
      <c r="A710" s="25" t="s">
        <v>2040</v>
      </c>
      <c r="B710" s="7" t="s">
        <v>708</v>
      </c>
      <c r="C710" s="19" t="s">
        <v>6</v>
      </c>
      <c r="D710" s="9">
        <v>40</v>
      </c>
    </row>
    <row r="711" spans="1:4" ht="15" x14ac:dyDescent="0.2">
      <c r="A711" s="25" t="s">
        <v>2041</v>
      </c>
      <c r="B711" s="7" t="s">
        <v>710</v>
      </c>
      <c r="C711" s="19" t="s">
        <v>6</v>
      </c>
      <c r="D711" s="9">
        <v>29</v>
      </c>
    </row>
    <row r="712" spans="1:4" ht="15" x14ac:dyDescent="0.2">
      <c r="A712" s="25" t="s">
        <v>2042</v>
      </c>
      <c r="B712" s="7" t="s">
        <v>712</v>
      </c>
      <c r="C712" s="19" t="s">
        <v>3</v>
      </c>
      <c r="D712" s="9">
        <v>500</v>
      </c>
    </row>
    <row r="713" spans="1:4" ht="15" x14ac:dyDescent="0.2">
      <c r="A713" s="25" t="s">
        <v>2043</v>
      </c>
      <c r="B713" s="7" t="s">
        <v>714</v>
      </c>
      <c r="C713" s="19" t="s">
        <v>715</v>
      </c>
      <c r="D713" s="9">
        <v>268</v>
      </c>
    </row>
    <row r="714" spans="1:4" ht="15" x14ac:dyDescent="0.2">
      <c r="A714" s="25" t="s">
        <v>2044</v>
      </c>
      <c r="B714" s="7" t="s">
        <v>717</v>
      </c>
      <c r="C714" s="19" t="s">
        <v>3</v>
      </c>
      <c r="D714" s="9">
        <v>32</v>
      </c>
    </row>
    <row r="715" spans="1:4" ht="15" x14ac:dyDescent="0.2">
      <c r="A715" s="25" t="s">
        <v>2045</v>
      </c>
      <c r="B715" s="7" t="s">
        <v>719</v>
      </c>
      <c r="C715" s="19" t="s">
        <v>3</v>
      </c>
      <c r="D715" s="9">
        <v>62.5</v>
      </c>
    </row>
    <row r="716" spans="1:4" ht="15" x14ac:dyDescent="0.2">
      <c r="A716" s="25" t="s">
        <v>2046</v>
      </c>
      <c r="B716" s="7" t="s">
        <v>721</v>
      </c>
      <c r="C716" s="19" t="s">
        <v>6</v>
      </c>
      <c r="D716" s="9">
        <v>233</v>
      </c>
    </row>
    <row r="717" spans="1:4" ht="15" x14ac:dyDescent="0.2">
      <c r="A717" s="25" t="s">
        <v>2047</v>
      </c>
      <c r="B717" s="7" t="s">
        <v>723</v>
      </c>
      <c r="C717" s="19" t="s">
        <v>3</v>
      </c>
      <c r="D717" s="9">
        <v>17.3</v>
      </c>
    </row>
    <row r="718" spans="1:4" ht="15" x14ac:dyDescent="0.2">
      <c r="A718" s="25" t="s">
        <v>2048</v>
      </c>
      <c r="B718" s="7" t="s">
        <v>725</v>
      </c>
      <c r="C718" s="19" t="s">
        <v>6</v>
      </c>
      <c r="D718" s="9">
        <v>4.5999999999999996</v>
      </c>
    </row>
    <row r="719" spans="1:4" ht="15" x14ac:dyDescent="0.2">
      <c r="A719" s="25" t="s">
        <v>2049</v>
      </c>
      <c r="B719" s="7" t="s">
        <v>727</v>
      </c>
      <c r="C719" s="19" t="s">
        <v>6</v>
      </c>
      <c r="D719" s="9">
        <v>40</v>
      </c>
    </row>
    <row r="720" spans="1:4" ht="15" x14ac:dyDescent="0.2">
      <c r="A720" s="25" t="s">
        <v>2050</v>
      </c>
      <c r="B720" s="7" t="s">
        <v>729</v>
      </c>
      <c r="C720" s="19" t="s">
        <v>6</v>
      </c>
      <c r="D720" s="9">
        <v>16.5</v>
      </c>
    </row>
    <row r="721" spans="1:4" ht="15" x14ac:dyDescent="0.2">
      <c r="A721" s="25" t="s">
        <v>2051</v>
      </c>
      <c r="B721" s="7" t="s">
        <v>731</v>
      </c>
      <c r="C721" s="19" t="s">
        <v>6</v>
      </c>
      <c r="D721" s="9">
        <v>18</v>
      </c>
    </row>
    <row r="722" spans="1:4" ht="15" x14ac:dyDescent="0.2">
      <c r="A722" s="25" t="s">
        <v>2052</v>
      </c>
      <c r="B722" s="7" t="s">
        <v>733</v>
      </c>
      <c r="C722" s="19" t="s">
        <v>6</v>
      </c>
      <c r="D722" s="9">
        <v>14.5</v>
      </c>
    </row>
    <row r="723" spans="1:4" ht="15" x14ac:dyDescent="0.2">
      <c r="A723" s="25" t="s">
        <v>2053</v>
      </c>
      <c r="B723" s="7" t="s">
        <v>735</v>
      </c>
      <c r="C723" s="19" t="s">
        <v>3</v>
      </c>
      <c r="D723" s="9">
        <v>42</v>
      </c>
    </row>
    <row r="724" spans="1:4" ht="15" x14ac:dyDescent="0.2">
      <c r="A724" s="25" t="s">
        <v>2054</v>
      </c>
      <c r="B724" s="7" t="s">
        <v>737</v>
      </c>
      <c r="C724" s="19" t="s">
        <v>6</v>
      </c>
      <c r="D724" s="9">
        <v>19</v>
      </c>
    </row>
    <row r="725" spans="1:4" ht="15" x14ac:dyDescent="0.2">
      <c r="A725" s="25" t="s">
        <v>2055</v>
      </c>
      <c r="B725" s="7" t="s">
        <v>739</v>
      </c>
      <c r="C725" s="19" t="s">
        <v>6</v>
      </c>
      <c r="D725" s="9">
        <v>18</v>
      </c>
    </row>
    <row r="726" spans="1:4" ht="15" x14ac:dyDescent="0.2">
      <c r="A726" s="25" t="s">
        <v>2056</v>
      </c>
      <c r="B726" s="7" t="s">
        <v>741</v>
      </c>
      <c r="C726" s="19" t="s">
        <v>3</v>
      </c>
      <c r="D726" s="9">
        <v>52</v>
      </c>
    </row>
    <row r="727" spans="1:4" ht="15" x14ac:dyDescent="0.2">
      <c r="A727" s="25" t="s">
        <v>2057</v>
      </c>
      <c r="B727" s="7" t="s">
        <v>743</v>
      </c>
      <c r="C727" s="19" t="s">
        <v>6</v>
      </c>
      <c r="D727" s="9">
        <v>25</v>
      </c>
    </row>
    <row r="728" spans="1:4" ht="15" x14ac:dyDescent="0.2">
      <c r="A728" s="25" t="s">
        <v>2058</v>
      </c>
      <c r="B728" s="7" t="s">
        <v>745</v>
      </c>
      <c r="C728" s="19" t="s">
        <v>6</v>
      </c>
      <c r="D728" s="9">
        <v>43</v>
      </c>
    </row>
    <row r="729" spans="1:4" ht="15" x14ac:dyDescent="0.2">
      <c r="A729" s="25" t="s">
        <v>2059</v>
      </c>
      <c r="B729" s="7" t="s">
        <v>747</v>
      </c>
      <c r="C729" s="19" t="s">
        <v>323</v>
      </c>
      <c r="D729" s="15">
        <v>70</v>
      </c>
    </row>
    <row r="730" spans="1:4" ht="15" x14ac:dyDescent="0.2">
      <c r="A730" s="25" t="s">
        <v>2060</v>
      </c>
      <c r="B730" s="7" t="s">
        <v>748</v>
      </c>
      <c r="C730" s="7" t="s">
        <v>6</v>
      </c>
      <c r="D730" s="31">
        <v>38</v>
      </c>
    </row>
    <row r="731" spans="1:4" ht="15" x14ac:dyDescent="0.2">
      <c r="A731" s="25" t="s">
        <v>2061</v>
      </c>
      <c r="B731" s="7" t="s">
        <v>750</v>
      </c>
      <c r="C731" s="7" t="s">
        <v>6</v>
      </c>
      <c r="D731" s="31">
        <v>15</v>
      </c>
    </row>
    <row r="732" spans="1:4" ht="15" x14ac:dyDescent="0.2">
      <c r="A732" s="25" t="s">
        <v>2062</v>
      </c>
      <c r="B732" s="7" t="s">
        <v>752</v>
      </c>
      <c r="C732" s="7" t="s">
        <v>37</v>
      </c>
      <c r="D732" s="31">
        <v>65</v>
      </c>
    </row>
    <row r="733" spans="1:4" ht="15" x14ac:dyDescent="0.2">
      <c r="A733" s="25" t="s">
        <v>2063</v>
      </c>
      <c r="B733" s="7" t="s">
        <v>754</v>
      </c>
      <c r="C733" s="7" t="s">
        <v>6</v>
      </c>
      <c r="D733" s="31">
        <v>48</v>
      </c>
    </row>
    <row r="734" spans="1:4" ht="15" x14ac:dyDescent="0.2">
      <c r="A734" s="25" t="s">
        <v>2064</v>
      </c>
      <c r="B734" s="7" t="s">
        <v>756</v>
      </c>
      <c r="C734" s="7" t="s">
        <v>12</v>
      </c>
      <c r="D734" s="31">
        <v>19</v>
      </c>
    </row>
    <row r="735" spans="1:4" ht="15" x14ac:dyDescent="0.2">
      <c r="A735" s="25" t="s">
        <v>2065</v>
      </c>
      <c r="B735" s="7" t="s">
        <v>758</v>
      </c>
      <c r="C735" s="7" t="s">
        <v>6</v>
      </c>
      <c r="D735" s="31">
        <v>9.5</v>
      </c>
    </row>
    <row r="736" spans="1:4" ht="15" x14ac:dyDescent="0.2">
      <c r="A736" s="25" t="s">
        <v>2066</v>
      </c>
      <c r="B736" s="7" t="s">
        <v>760</v>
      </c>
      <c r="C736" s="7" t="s">
        <v>6</v>
      </c>
      <c r="D736" s="31">
        <v>87</v>
      </c>
    </row>
    <row r="737" spans="1:4" ht="15" x14ac:dyDescent="0.2">
      <c r="A737" s="25" t="s">
        <v>2067</v>
      </c>
      <c r="B737" s="7" t="s">
        <v>762</v>
      </c>
      <c r="C737" s="7" t="s">
        <v>3</v>
      </c>
      <c r="D737" s="31">
        <v>6.5</v>
      </c>
    </row>
    <row r="738" spans="1:4" ht="15" x14ac:dyDescent="0.2">
      <c r="A738" s="25" t="s">
        <v>2068</v>
      </c>
      <c r="B738" s="7" t="s">
        <v>764</v>
      </c>
      <c r="C738" s="7" t="s">
        <v>37</v>
      </c>
      <c r="D738" s="31">
        <v>130</v>
      </c>
    </row>
    <row r="739" spans="1:4" ht="15" x14ac:dyDescent="0.2">
      <c r="A739" s="25" t="s">
        <v>2069</v>
      </c>
      <c r="B739" s="7" t="s">
        <v>766</v>
      </c>
      <c r="C739" s="7" t="s">
        <v>6</v>
      </c>
      <c r="D739" s="31">
        <v>23.5</v>
      </c>
    </row>
    <row r="740" spans="1:4" ht="15" x14ac:dyDescent="0.2">
      <c r="A740" s="25" t="s">
        <v>2070</v>
      </c>
      <c r="B740" s="7" t="s">
        <v>768</v>
      </c>
      <c r="C740" s="7" t="s">
        <v>6</v>
      </c>
      <c r="D740" s="31">
        <v>65.5</v>
      </c>
    </row>
    <row r="741" spans="1:4" ht="15" x14ac:dyDescent="0.2">
      <c r="A741" s="25" t="s">
        <v>2071</v>
      </c>
      <c r="B741" s="7" t="s">
        <v>770</v>
      </c>
      <c r="C741" s="7" t="s">
        <v>3</v>
      </c>
      <c r="D741" s="31">
        <v>22</v>
      </c>
    </row>
    <row r="742" spans="1:4" ht="15" x14ac:dyDescent="0.2">
      <c r="A742" s="25" t="s">
        <v>2072</v>
      </c>
      <c r="B742" s="7" t="s">
        <v>772</v>
      </c>
      <c r="C742" s="7" t="s">
        <v>101</v>
      </c>
      <c r="D742" s="31">
        <v>34</v>
      </c>
    </row>
    <row r="743" spans="1:4" ht="15" x14ac:dyDescent="0.2">
      <c r="A743" s="25" t="s">
        <v>2073</v>
      </c>
      <c r="B743" s="7" t="s">
        <v>774</v>
      </c>
      <c r="C743" s="7" t="s">
        <v>3</v>
      </c>
      <c r="D743" s="31">
        <v>24</v>
      </c>
    </row>
    <row r="744" spans="1:4" ht="15" x14ac:dyDescent="0.2">
      <c r="A744" s="25" t="s">
        <v>2074</v>
      </c>
      <c r="B744" s="7" t="s">
        <v>776</v>
      </c>
      <c r="C744" s="7" t="s">
        <v>3</v>
      </c>
      <c r="D744" s="31">
        <v>50</v>
      </c>
    </row>
    <row r="745" spans="1:4" ht="15" x14ac:dyDescent="0.2">
      <c r="A745" s="25" t="s">
        <v>2075</v>
      </c>
      <c r="B745" s="7" t="s">
        <v>778</v>
      </c>
      <c r="C745" s="7" t="s">
        <v>3</v>
      </c>
      <c r="D745" s="31">
        <v>47</v>
      </c>
    </row>
    <row r="746" spans="1:4" ht="15" x14ac:dyDescent="0.2">
      <c r="A746" s="25" t="s">
        <v>2076</v>
      </c>
      <c r="B746" s="7" t="s">
        <v>780</v>
      </c>
      <c r="C746" s="7" t="s">
        <v>3</v>
      </c>
      <c r="D746" s="31">
        <v>15</v>
      </c>
    </row>
    <row r="747" spans="1:4" ht="15" x14ac:dyDescent="0.2">
      <c r="A747" s="25" t="s">
        <v>2077</v>
      </c>
      <c r="B747" s="7" t="s">
        <v>782</v>
      </c>
      <c r="C747" s="7" t="s">
        <v>3</v>
      </c>
      <c r="D747" s="31">
        <v>20</v>
      </c>
    </row>
    <row r="748" spans="1:4" ht="15" x14ac:dyDescent="0.2">
      <c r="A748" s="25" t="s">
        <v>2078</v>
      </c>
      <c r="B748" s="7" t="s">
        <v>784</v>
      </c>
      <c r="C748" s="7" t="s">
        <v>3</v>
      </c>
      <c r="D748" s="31">
        <v>38</v>
      </c>
    </row>
    <row r="749" spans="1:4" ht="15" x14ac:dyDescent="0.2">
      <c r="A749" s="25" t="s">
        <v>2079</v>
      </c>
      <c r="B749" s="7" t="s">
        <v>786</v>
      </c>
      <c r="C749" s="7" t="s">
        <v>6</v>
      </c>
      <c r="D749" s="31">
        <v>15</v>
      </c>
    </row>
    <row r="750" spans="1:4" ht="15" x14ac:dyDescent="0.2">
      <c r="A750" s="25" t="s">
        <v>2080</v>
      </c>
      <c r="B750" s="7" t="s">
        <v>788</v>
      </c>
      <c r="C750" s="7" t="s">
        <v>37</v>
      </c>
      <c r="D750" s="31">
        <v>106</v>
      </c>
    </row>
    <row r="751" spans="1:4" ht="15" x14ac:dyDescent="0.2">
      <c r="A751" s="25" t="s">
        <v>2081</v>
      </c>
      <c r="B751" s="7" t="s">
        <v>790</v>
      </c>
      <c r="C751" s="7" t="s">
        <v>6</v>
      </c>
      <c r="D751" s="31">
        <v>189</v>
      </c>
    </row>
    <row r="752" spans="1:4" ht="15" x14ac:dyDescent="0.2">
      <c r="A752" s="25" t="s">
        <v>2082</v>
      </c>
      <c r="B752" s="7" t="s">
        <v>792</v>
      </c>
      <c r="C752" s="7" t="s">
        <v>6</v>
      </c>
      <c r="D752" s="31">
        <v>1.92</v>
      </c>
    </row>
    <row r="753" spans="1:4" ht="15" x14ac:dyDescent="0.2">
      <c r="A753" s="25" t="s">
        <v>2083</v>
      </c>
      <c r="B753" s="7" t="s">
        <v>794</v>
      </c>
      <c r="C753" s="7" t="s">
        <v>3</v>
      </c>
      <c r="D753" s="31">
        <v>84</v>
      </c>
    </row>
    <row r="754" spans="1:4" ht="15" x14ac:dyDescent="0.2">
      <c r="A754" s="25" t="s">
        <v>2084</v>
      </c>
      <c r="B754" s="7" t="s">
        <v>796</v>
      </c>
      <c r="C754" s="7" t="s">
        <v>6</v>
      </c>
      <c r="D754" s="31">
        <v>50</v>
      </c>
    </row>
    <row r="755" spans="1:4" ht="15" x14ac:dyDescent="0.2">
      <c r="A755" s="25" t="s">
        <v>2085</v>
      </c>
      <c r="B755" s="7" t="s">
        <v>798</v>
      </c>
      <c r="C755" s="7" t="s">
        <v>6</v>
      </c>
      <c r="D755" s="31">
        <v>38</v>
      </c>
    </row>
    <row r="756" spans="1:4" ht="15" x14ac:dyDescent="0.2">
      <c r="A756" s="25" t="s">
        <v>2086</v>
      </c>
      <c r="B756" s="7" t="s">
        <v>800</v>
      </c>
      <c r="C756" s="7" t="s">
        <v>6</v>
      </c>
      <c r="D756" s="31">
        <v>15</v>
      </c>
    </row>
    <row r="757" spans="1:4" ht="15" x14ac:dyDescent="0.2">
      <c r="A757" s="25" t="s">
        <v>2087</v>
      </c>
      <c r="B757" s="7" t="s">
        <v>802</v>
      </c>
      <c r="C757" s="7" t="s">
        <v>12</v>
      </c>
      <c r="D757" s="31">
        <v>12.5</v>
      </c>
    </row>
    <row r="758" spans="1:4" ht="15" x14ac:dyDescent="0.2">
      <c r="A758" s="25" t="s">
        <v>2088</v>
      </c>
      <c r="B758" s="7" t="s">
        <v>804</v>
      </c>
      <c r="C758" s="7" t="s">
        <v>12</v>
      </c>
      <c r="D758" s="31">
        <v>13.5</v>
      </c>
    </row>
    <row r="759" spans="1:4" ht="15" x14ac:dyDescent="0.2">
      <c r="A759" s="25" t="s">
        <v>2089</v>
      </c>
      <c r="B759" s="7" t="s">
        <v>806</v>
      </c>
      <c r="C759" s="7" t="s">
        <v>12</v>
      </c>
      <c r="D759" s="31">
        <v>14</v>
      </c>
    </row>
    <row r="760" spans="1:4" ht="15" x14ac:dyDescent="0.2">
      <c r="A760" s="25" t="s">
        <v>2090</v>
      </c>
      <c r="B760" s="7" t="s">
        <v>808</v>
      </c>
      <c r="C760" s="7" t="s">
        <v>6</v>
      </c>
      <c r="D760" s="31">
        <v>46</v>
      </c>
    </row>
    <row r="761" spans="1:4" ht="15" x14ac:dyDescent="0.2">
      <c r="A761" s="25" t="s">
        <v>2091</v>
      </c>
      <c r="B761" s="7" t="s">
        <v>810</v>
      </c>
      <c r="C761" s="7" t="s">
        <v>6</v>
      </c>
      <c r="D761" s="31">
        <v>17</v>
      </c>
    </row>
    <row r="762" spans="1:4" ht="15" x14ac:dyDescent="0.2">
      <c r="A762" s="25" t="s">
        <v>2092</v>
      </c>
      <c r="B762" s="7" t="s">
        <v>812</v>
      </c>
      <c r="C762" s="7" t="s">
        <v>6</v>
      </c>
      <c r="D762" s="31">
        <v>44</v>
      </c>
    </row>
    <row r="763" spans="1:4" ht="15" x14ac:dyDescent="0.2">
      <c r="A763" s="25" t="s">
        <v>2093</v>
      </c>
      <c r="B763" s="7" t="s">
        <v>814</v>
      </c>
      <c r="C763" s="7" t="s">
        <v>12</v>
      </c>
      <c r="D763" s="31">
        <v>97</v>
      </c>
    </row>
    <row r="764" spans="1:4" ht="15" x14ac:dyDescent="0.2">
      <c r="A764" s="25" t="s">
        <v>2094</v>
      </c>
      <c r="B764" s="7" t="s">
        <v>816</v>
      </c>
      <c r="C764" s="7" t="s">
        <v>6</v>
      </c>
      <c r="D764" s="31">
        <v>145</v>
      </c>
    </row>
    <row r="765" spans="1:4" ht="15" x14ac:dyDescent="0.2">
      <c r="A765" s="25" t="s">
        <v>2095</v>
      </c>
      <c r="B765" s="7" t="s">
        <v>818</v>
      </c>
      <c r="C765" s="7" t="s">
        <v>6</v>
      </c>
      <c r="D765" s="31">
        <v>15.5</v>
      </c>
    </row>
    <row r="766" spans="1:4" ht="15" x14ac:dyDescent="0.2">
      <c r="A766" s="25" t="s">
        <v>2096</v>
      </c>
      <c r="B766" s="7" t="s">
        <v>820</v>
      </c>
      <c r="C766" s="7" t="s">
        <v>6</v>
      </c>
      <c r="D766" s="31">
        <v>20</v>
      </c>
    </row>
    <row r="767" spans="1:4" ht="15" x14ac:dyDescent="0.2">
      <c r="A767" s="25" t="s">
        <v>2097</v>
      </c>
      <c r="B767" s="7" t="s">
        <v>822</v>
      </c>
      <c r="C767" s="7" t="s">
        <v>6</v>
      </c>
      <c r="D767" s="31">
        <v>60</v>
      </c>
    </row>
    <row r="768" spans="1:4" ht="15" x14ac:dyDescent="0.2">
      <c r="A768" s="25" t="s">
        <v>2098</v>
      </c>
      <c r="B768" s="7" t="s">
        <v>824</v>
      </c>
      <c r="C768" s="7" t="s">
        <v>6</v>
      </c>
      <c r="D768" s="31">
        <v>102</v>
      </c>
    </row>
    <row r="769" spans="1:4" ht="15" x14ac:dyDescent="0.2">
      <c r="A769" s="25" t="s">
        <v>2099</v>
      </c>
      <c r="B769" s="7" t="s">
        <v>826</v>
      </c>
      <c r="C769" s="7" t="s">
        <v>6</v>
      </c>
      <c r="D769" s="31">
        <v>59</v>
      </c>
    </row>
    <row r="770" spans="1:4" ht="15" x14ac:dyDescent="0.2">
      <c r="A770" s="25" t="s">
        <v>2100</v>
      </c>
      <c r="B770" s="7" t="s">
        <v>828</v>
      </c>
      <c r="C770" s="7" t="s">
        <v>6</v>
      </c>
      <c r="D770" s="31">
        <v>18</v>
      </c>
    </row>
    <row r="771" spans="1:4" ht="15" x14ac:dyDescent="0.2">
      <c r="A771" s="25" t="s">
        <v>2101</v>
      </c>
      <c r="B771" s="7" t="s">
        <v>830</v>
      </c>
      <c r="C771" s="7" t="s">
        <v>6</v>
      </c>
      <c r="D771" s="31">
        <v>77</v>
      </c>
    </row>
    <row r="772" spans="1:4" ht="15" x14ac:dyDescent="0.2">
      <c r="A772" s="25" t="s">
        <v>2102</v>
      </c>
      <c r="B772" s="7" t="s">
        <v>832</v>
      </c>
      <c r="C772" s="7" t="s">
        <v>3</v>
      </c>
      <c r="D772" s="31">
        <v>90</v>
      </c>
    </row>
    <row r="773" spans="1:4" ht="15" x14ac:dyDescent="0.2">
      <c r="A773" s="25" t="s">
        <v>2103</v>
      </c>
      <c r="B773" s="7" t="s">
        <v>834</v>
      </c>
      <c r="C773" s="7" t="s">
        <v>6</v>
      </c>
      <c r="D773" s="31">
        <v>3.6</v>
      </c>
    </row>
    <row r="774" spans="1:4" ht="15" x14ac:dyDescent="0.2">
      <c r="A774" s="25" t="s">
        <v>2104</v>
      </c>
      <c r="B774" s="7" t="s">
        <v>836</v>
      </c>
      <c r="C774" s="7" t="s">
        <v>3</v>
      </c>
      <c r="D774" s="31">
        <v>25</v>
      </c>
    </row>
    <row r="775" spans="1:4" ht="15" x14ac:dyDescent="0.2">
      <c r="A775" s="25" t="s">
        <v>2105</v>
      </c>
      <c r="B775" s="7" t="s">
        <v>838</v>
      </c>
      <c r="C775" s="7" t="s">
        <v>6</v>
      </c>
      <c r="D775" s="31">
        <v>47.5</v>
      </c>
    </row>
    <row r="776" spans="1:4" ht="15" x14ac:dyDescent="0.2">
      <c r="A776" s="25" t="s">
        <v>2106</v>
      </c>
      <c r="B776" s="7" t="s">
        <v>840</v>
      </c>
      <c r="C776" s="7" t="s">
        <v>6</v>
      </c>
      <c r="D776" s="31">
        <v>88</v>
      </c>
    </row>
    <row r="777" spans="1:4" ht="15" x14ac:dyDescent="0.2">
      <c r="A777" s="25" t="s">
        <v>2107</v>
      </c>
      <c r="B777" s="7" t="s">
        <v>842</v>
      </c>
      <c r="C777" s="7" t="s">
        <v>6</v>
      </c>
      <c r="D777" s="31">
        <v>145</v>
      </c>
    </row>
    <row r="778" spans="1:4" ht="15" x14ac:dyDescent="0.2">
      <c r="A778" s="25" t="s">
        <v>2108</v>
      </c>
      <c r="B778" s="7" t="s">
        <v>844</v>
      </c>
      <c r="C778" s="7" t="s">
        <v>6</v>
      </c>
      <c r="D778" s="31">
        <v>31</v>
      </c>
    </row>
    <row r="779" spans="1:4" ht="15" x14ac:dyDescent="0.2">
      <c r="A779" s="25" t="s">
        <v>2109</v>
      </c>
      <c r="B779" s="7" t="s">
        <v>846</v>
      </c>
      <c r="C779" s="7" t="s">
        <v>6</v>
      </c>
      <c r="D779" s="31">
        <v>19</v>
      </c>
    </row>
    <row r="780" spans="1:4" ht="15" x14ac:dyDescent="0.2">
      <c r="A780" s="25" t="s">
        <v>2110</v>
      </c>
      <c r="B780" s="7" t="s">
        <v>848</v>
      </c>
      <c r="C780" s="7" t="s">
        <v>6</v>
      </c>
      <c r="D780" s="31">
        <v>4.5</v>
      </c>
    </row>
    <row r="781" spans="1:4" ht="15" x14ac:dyDescent="0.2">
      <c r="A781" s="25" t="s">
        <v>2111</v>
      </c>
      <c r="B781" s="7" t="s">
        <v>850</v>
      </c>
      <c r="C781" s="7" t="s">
        <v>323</v>
      </c>
      <c r="D781" s="32">
        <v>148</v>
      </c>
    </row>
    <row r="782" spans="1:4" ht="15" x14ac:dyDescent="0.2">
      <c r="A782" s="25" t="s">
        <v>2112</v>
      </c>
      <c r="B782" s="7" t="s">
        <v>749</v>
      </c>
      <c r="C782" s="7" t="s">
        <v>37</v>
      </c>
      <c r="D782" s="9">
        <v>51</v>
      </c>
    </row>
    <row r="783" spans="1:4" ht="15" x14ac:dyDescent="0.2">
      <c r="A783" s="25" t="s">
        <v>2113</v>
      </c>
      <c r="B783" s="7" t="s">
        <v>751</v>
      </c>
      <c r="C783" s="7" t="s">
        <v>6</v>
      </c>
      <c r="D783" s="9">
        <v>57</v>
      </c>
    </row>
    <row r="784" spans="1:4" ht="15" x14ac:dyDescent="0.2">
      <c r="A784" s="25" t="s">
        <v>2114</v>
      </c>
      <c r="B784" s="7" t="s">
        <v>753</v>
      </c>
      <c r="C784" s="7" t="s">
        <v>6</v>
      </c>
      <c r="D784" s="9">
        <v>175</v>
      </c>
    </row>
    <row r="785" spans="1:4" ht="15" x14ac:dyDescent="0.2">
      <c r="A785" s="25" t="s">
        <v>2115</v>
      </c>
      <c r="B785" s="7" t="s">
        <v>755</v>
      </c>
      <c r="C785" s="7" t="s">
        <v>6</v>
      </c>
      <c r="D785" s="9">
        <v>50</v>
      </c>
    </row>
    <row r="786" spans="1:4" ht="15" x14ac:dyDescent="0.2">
      <c r="A786" s="25" t="s">
        <v>2116</v>
      </c>
      <c r="B786" s="7" t="s">
        <v>757</v>
      </c>
      <c r="C786" s="7" t="s">
        <v>6</v>
      </c>
      <c r="D786" s="9">
        <v>55</v>
      </c>
    </row>
    <row r="787" spans="1:4" ht="15" x14ac:dyDescent="0.2">
      <c r="A787" s="25" t="s">
        <v>2117</v>
      </c>
      <c r="B787" s="7" t="s">
        <v>759</v>
      </c>
      <c r="C787" s="7" t="s">
        <v>6</v>
      </c>
      <c r="D787" s="9">
        <v>30</v>
      </c>
    </row>
    <row r="788" spans="1:4" ht="15" x14ac:dyDescent="0.2">
      <c r="A788" s="25" t="s">
        <v>2118</v>
      </c>
      <c r="B788" s="7" t="s">
        <v>761</v>
      </c>
      <c r="C788" s="7" t="s">
        <v>6</v>
      </c>
      <c r="D788" s="9">
        <v>22</v>
      </c>
    </row>
    <row r="789" spans="1:4" ht="15" x14ac:dyDescent="0.2">
      <c r="A789" s="25" t="s">
        <v>2119</v>
      </c>
      <c r="B789" s="7" t="s">
        <v>763</v>
      </c>
      <c r="C789" s="7" t="s">
        <v>6</v>
      </c>
      <c r="D789" s="9">
        <v>28</v>
      </c>
    </row>
    <row r="790" spans="1:4" ht="15" x14ac:dyDescent="0.2">
      <c r="A790" s="25" t="s">
        <v>2120</v>
      </c>
      <c r="B790" s="7" t="s">
        <v>765</v>
      </c>
      <c r="C790" s="7" t="s">
        <v>6</v>
      </c>
      <c r="D790" s="9">
        <v>33.6</v>
      </c>
    </row>
    <row r="791" spans="1:4" ht="15" x14ac:dyDescent="0.2">
      <c r="A791" s="25" t="s">
        <v>2121</v>
      </c>
      <c r="B791" s="7" t="s">
        <v>767</v>
      </c>
      <c r="C791" s="7" t="s">
        <v>6</v>
      </c>
      <c r="D791" s="9">
        <v>31.7</v>
      </c>
    </row>
    <row r="792" spans="1:4" ht="15" x14ac:dyDescent="0.2">
      <c r="A792" s="25" t="s">
        <v>2122</v>
      </c>
      <c r="B792" s="7" t="s">
        <v>769</v>
      </c>
      <c r="C792" s="7" t="s">
        <v>6</v>
      </c>
      <c r="D792" s="9">
        <v>15</v>
      </c>
    </row>
    <row r="793" spans="1:4" ht="15" x14ac:dyDescent="0.2">
      <c r="A793" s="25" t="s">
        <v>2123</v>
      </c>
      <c r="B793" s="7" t="s">
        <v>771</v>
      </c>
      <c r="C793" s="7" t="s">
        <v>6</v>
      </c>
      <c r="D793" s="9">
        <v>14.2</v>
      </c>
    </row>
    <row r="794" spans="1:4" ht="15" x14ac:dyDescent="0.2">
      <c r="A794" s="25" t="s">
        <v>2124</v>
      </c>
      <c r="B794" s="7" t="s">
        <v>773</v>
      </c>
      <c r="C794" s="7" t="s">
        <v>3</v>
      </c>
      <c r="D794" s="9">
        <v>18.399999999999999</v>
      </c>
    </row>
    <row r="795" spans="1:4" ht="15" x14ac:dyDescent="0.2">
      <c r="A795" s="25" t="s">
        <v>2125</v>
      </c>
      <c r="B795" s="7" t="s">
        <v>775</v>
      </c>
      <c r="C795" s="7" t="s">
        <v>3</v>
      </c>
      <c r="D795" s="9">
        <v>24.5</v>
      </c>
    </row>
    <row r="796" spans="1:4" ht="15" x14ac:dyDescent="0.2">
      <c r="A796" s="25" t="s">
        <v>2126</v>
      </c>
      <c r="B796" s="7" t="s">
        <v>777</v>
      </c>
      <c r="C796" s="7" t="s">
        <v>6</v>
      </c>
      <c r="D796" s="9">
        <v>5.3</v>
      </c>
    </row>
    <row r="797" spans="1:4" ht="15" x14ac:dyDescent="0.2">
      <c r="A797" s="25" t="s">
        <v>2127</v>
      </c>
      <c r="B797" s="7" t="s">
        <v>779</v>
      </c>
      <c r="C797" s="7" t="s">
        <v>6</v>
      </c>
      <c r="D797" s="9">
        <v>19.2</v>
      </c>
    </row>
    <row r="798" spans="1:4" ht="15" x14ac:dyDescent="0.2">
      <c r="A798" s="25" t="s">
        <v>2128</v>
      </c>
      <c r="B798" s="7" t="s">
        <v>781</v>
      </c>
      <c r="C798" s="7" t="s">
        <v>3</v>
      </c>
      <c r="D798" s="9">
        <v>58</v>
      </c>
    </row>
    <row r="799" spans="1:4" ht="15" x14ac:dyDescent="0.2">
      <c r="A799" s="25" t="s">
        <v>2129</v>
      </c>
      <c r="B799" s="7" t="s">
        <v>783</v>
      </c>
      <c r="C799" s="7" t="s">
        <v>6</v>
      </c>
      <c r="D799" s="9">
        <v>180</v>
      </c>
    </row>
    <row r="800" spans="1:4" ht="15" x14ac:dyDescent="0.2">
      <c r="A800" s="25" t="s">
        <v>2130</v>
      </c>
      <c r="B800" s="7" t="s">
        <v>785</v>
      </c>
      <c r="C800" s="7" t="s">
        <v>6</v>
      </c>
      <c r="D800" s="9">
        <v>40</v>
      </c>
    </row>
    <row r="801" spans="1:4" ht="15" x14ac:dyDescent="0.2">
      <c r="A801" s="25" t="s">
        <v>2131</v>
      </c>
      <c r="B801" s="7" t="s">
        <v>787</v>
      </c>
      <c r="C801" s="7" t="s">
        <v>6</v>
      </c>
      <c r="D801" s="9">
        <v>57</v>
      </c>
    </row>
    <row r="802" spans="1:4" ht="15" x14ac:dyDescent="0.2">
      <c r="A802" s="25" t="s">
        <v>2132</v>
      </c>
      <c r="B802" s="7" t="s">
        <v>789</v>
      </c>
      <c r="C802" s="7" t="s">
        <v>6</v>
      </c>
      <c r="D802" s="9">
        <v>27</v>
      </c>
    </row>
    <row r="803" spans="1:4" ht="15" x14ac:dyDescent="0.2">
      <c r="A803" s="25" t="s">
        <v>2133</v>
      </c>
      <c r="B803" s="7" t="s">
        <v>791</v>
      </c>
      <c r="C803" s="7" t="s">
        <v>6</v>
      </c>
      <c r="D803" s="9">
        <v>30</v>
      </c>
    </row>
    <row r="804" spans="1:4" ht="15" x14ac:dyDescent="0.2">
      <c r="A804" s="25" t="s">
        <v>2134</v>
      </c>
      <c r="B804" s="7" t="s">
        <v>793</v>
      </c>
      <c r="C804" s="7" t="s">
        <v>3</v>
      </c>
      <c r="D804" s="9">
        <v>25.5</v>
      </c>
    </row>
    <row r="805" spans="1:4" ht="15" x14ac:dyDescent="0.2">
      <c r="A805" s="25" t="s">
        <v>2135</v>
      </c>
      <c r="B805" s="7" t="s">
        <v>795</v>
      </c>
      <c r="C805" s="7" t="s">
        <v>6</v>
      </c>
      <c r="D805" s="9">
        <v>19</v>
      </c>
    </row>
    <row r="806" spans="1:4" ht="15" x14ac:dyDescent="0.2">
      <c r="A806" s="25" t="s">
        <v>2136</v>
      </c>
      <c r="B806" s="7" t="s">
        <v>797</v>
      </c>
      <c r="C806" s="7" t="s">
        <v>12</v>
      </c>
      <c r="D806" s="9">
        <v>26</v>
      </c>
    </row>
    <row r="807" spans="1:4" ht="15" x14ac:dyDescent="0.2">
      <c r="A807" s="25" t="s">
        <v>2137</v>
      </c>
      <c r="B807" s="7" t="s">
        <v>799</v>
      </c>
      <c r="C807" s="7" t="s">
        <v>37</v>
      </c>
      <c r="D807" s="9">
        <v>41</v>
      </c>
    </row>
    <row r="808" spans="1:4" ht="15" x14ac:dyDescent="0.2">
      <c r="A808" s="25" t="s">
        <v>2138</v>
      </c>
      <c r="B808" s="7" t="s">
        <v>801</v>
      </c>
      <c r="C808" s="7" t="s">
        <v>37</v>
      </c>
      <c r="D808" s="9">
        <v>155</v>
      </c>
    </row>
    <row r="809" spans="1:4" ht="15" x14ac:dyDescent="0.2">
      <c r="A809" s="25" t="s">
        <v>2139</v>
      </c>
      <c r="B809" s="7" t="s">
        <v>803</v>
      </c>
      <c r="C809" s="7" t="s">
        <v>37</v>
      </c>
      <c r="D809" s="9">
        <v>120</v>
      </c>
    </row>
    <row r="810" spans="1:4" ht="15" x14ac:dyDescent="0.2">
      <c r="A810" s="25" t="s">
        <v>2140</v>
      </c>
      <c r="B810" s="7" t="s">
        <v>805</v>
      </c>
      <c r="C810" s="7" t="s">
        <v>37</v>
      </c>
      <c r="D810" s="9">
        <v>150</v>
      </c>
    </row>
    <row r="811" spans="1:4" ht="15" x14ac:dyDescent="0.2">
      <c r="A811" s="25" t="s">
        <v>2141</v>
      </c>
      <c r="B811" s="7" t="s">
        <v>807</v>
      </c>
      <c r="C811" s="7" t="s">
        <v>6</v>
      </c>
      <c r="D811" s="9">
        <v>42</v>
      </c>
    </row>
    <row r="812" spans="1:4" ht="15" x14ac:dyDescent="0.2">
      <c r="A812" s="25" t="s">
        <v>2142</v>
      </c>
      <c r="B812" s="7" t="s">
        <v>809</v>
      </c>
      <c r="C812" s="7" t="s">
        <v>6</v>
      </c>
      <c r="D812" s="9">
        <v>32.5</v>
      </c>
    </row>
    <row r="813" spans="1:4" ht="15" x14ac:dyDescent="0.2">
      <c r="A813" s="25" t="s">
        <v>2143</v>
      </c>
      <c r="B813" s="7" t="s">
        <v>811</v>
      </c>
      <c r="C813" s="7" t="s">
        <v>6</v>
      </c>
      <c r="D813" s="9">
        <v>18.5</v>
      </c>
    </row>
    <row r="814" spans="1:4" ht="15" x14ac:dyDescent="0.2">
      <c r="A814" s="25" t="s">
        <v>2144</v>
      </c>
      <c r="B814" s="7" t="s">
        <v>813</v>
      </c>
      <c r="C814" s="7" t="s">
        <v>3</v>
      </c>
      <c r="D814" s="9">
        <v>55</v>
      </c>
    </row>
    <row r="815" spans="1:4" ht="15" x14ac:dyDescent="0.2">
      <c r="A815" s="25" t="s">
        <v>2145</v>
      </c>
      <c r="B815" s="7" t="s">
        <v>815</v>
      </c>
      <c r="C815" s="7" t="s">
        <v>3</v>
      </c>
      <c r="D815" s="9">
        <v>13.8</v>
      </c>
    </row>
    <row r="816" spans="1:4" ht="15" x14ac:dyDescent="0.2">
      <c r="A816" s="25" t="s">
        <v>2146</v>
      </c>
      <c r="B816" s="7" t="s">
        <v>817</v>
      </c>
      <c r="C816" s="7" t="s">
        <v>12</v>
      </c>
      <c r="D816" s="9">
        <v>8.1999999999999993</v>
      </c>
    </row>
    <row r="817" spans="1:4" ht="15" x14ac:dyDescent="0.2">
      <c r="A817" s="25" t="s">
        <v>2147</v>
      </c>
      <c r="B817" s="7" t="s">
        <v>819</v>
      </c>
      <c r="C817" s="7" t="s">
        <v>37</v>
      </c>
      <c r="D817" s="9">
        <v>50</v>
      </c>
    </row>
    <row r="818" spans="1:4" ht="15" x14ac:dyDescent="0.2">
      <c r="A818" s="25" t="s">
        <v>2148</v>
      </c>
      <c r="B818" s="7" t="s">
        <v>821</v>
      </c>
      <c r="C818" s="7" t="s">
        <v>12</v>
      </c>
      <c r="D818" s="9">
        <v>24</v>
      </c>
    </row>
    <row r="819" spans="1:4" ht="15" x14ac:dyDescent="0.2">
      <c r="A819" s="25" t="s">
        <v>2149</v>
      </c>
      <c r="B819" s="7" t="s">
        <v>823</v>
      </c>
      <c r="C819" s="7" t="s">
        <v>6</v>
      </c>
      <c r="D819" s="9">
        <v>7</v>
      </c>
    </row>
    <row r="820" spans="1:4" ht="15" x14ac:dyDescent="0.2">
      <c r="A820" s="25" t="s">
        <v>2150</v>
      </c>
      <c r="B820" s="7" t="s">
        <v>825</v>
      </c>
      <c r="C820" s="7" t="s">
        <v>6</v>
      </c>
      <c r="D820" s="9">
        <v>22</v>
      </c>
    </row>
    <row r="821" spans="1:4" ht="15" x14ac:dyDescent="0.2">
      <c r="A821" s="25" t="s">
        <v>2151</v>
      </c>
      <c r="B821" s="7" t="s">
        <v>827</v>
      </c>
      <c r="C821" s="7" t="s">
        <v>6</v>
      </c>
      <c r="D821" s="9">
        <v>15.5</v>
      </c>
    </row>
    <row r="822" spans="1:4" ht="15" x14ac:dyDescent="0.2">
      <c r="A822" s="25" t="s">
        <v>2152</v>
      </c>
      <c r="B822" s="7" t="s">
        <v>829</v>
      </c>
      <c r="C822" s="7" t="s">
        <v>3</v>
      </c>
      <c r="D822" s="9">
        <v>12.5</v>
      </c>
    </row>
    <row r="823" spans="1:4" ht="15" x14ac:dyDescent="0.2">
      <c r="A823" s="25" t="s">
        <v>2153</v>
      </c>
      <c r="B823" s="7" t="s">
        <v>831</v>
      </c>
      <c r="C823" s="7" t="s">
        <v>3</v>
      </c>
      <c r="D823" s="9">
        <v>97.5</v>
      </c>
    </row>
    <row r="824" spans="1:4" ht="15" x14ac:dyDescent="0.2">
      <c r="A824" s="25" t="s">
        <v>2154</v>
      </c>
      <c r="B824" s="7" t="s">
        <v>833</v>
      </c>
      <c r="C824" s="7" t="s">
        <v>12</v>
      </c>
      <c r="D824" s="9">
        <v>186</v>
      </c>
    </row>
    <row r="825" spans="1:4" ht="15" x14ac:dyDescent="0.2">
      <c r="A825" s="25" t="s">
        <v>2155</v>
      </c>
      <c r="B825" s="7" t="s">
        <v>835</v>
      </c>
      <c r="C825" s="7" t="s">
        <v>3</v>
      </c>
      <c r="D825" s="9">
        <v>186</v>
      </c>
    </row>
    <row r="826" spans="1:4" ht="15" x14ac:dyDescent="0.2">
      <c r="A826" s="25" t="s">
        <v>2156</v>
      </c>
      <c r="B826" s="7" t="s">
        <v>837</v>
      </c>
      <c r="C826" s="7" t="s">
        <v>3</v>
      </c>
      <c r="D826" s="9">
        <v>85</v>
      </c>
    </row>
    <row r="827" spans="1:4" ht="15" x14ac:dyDescent="0.2">
      <c r="A827" s="25" t="s">
        <v>2157</v>
      </c>
      <c r="B827" s="7" t="s">
        <v>839</v>
      </c>
      <c r="C827" s="7" t="s">
        <v>37</v>
      </c>
      <c r="D827" s="9">
        <v>30</v>
      </c>
    </row>
    <row r="828" spans="1:4" ht="15" x14ac:dyDescent="0.2">
      <c r="A828" s="25" t="s">
        <v>2158</v>
      </c>
      <c r="B828" s="7" t="s">
        <v>841</v>
      </c>
      <c r="C828" s="7" t="s">
        <v>37</v>
      </c>
      <c r="D828" s="9">
        <v>24.2</v>
      </c>
    </row>
    <row r="829" spans="1:4" ht="15" x14ac:dyDescent="0.2">
      <c r="A829" s="25" t="s">
        <v>2159</v>
      </c>
      <c r="B829" s="7" t="s">
        <v>843</v>
      </c>
      <c r="C829" s="7" t="s">
        <v>37</v>
      </c>
      <c r="D829" s="9">
        <v>14</v>
      </c>
    </row>
    <row r="830" spans="1:4" ht="15" x14ac:dyDescent="0.2">
      <c r="A830" s="25" t="s">
        <v>2160</v>
      </c>
      <c r="B830" s="7" t="s">
        <v>845</v>
      </c>
      <c r="C830" s="7" t="s">
        <v>3</v>
      </c>
      <c r="D830" s="9">
        <v>310</v>
      </c>
    </row>
    <row r="831" spans="1:4" ht="15" x14ac:dyDescent="0.2">
      <c r="A831" s="25" t="s">
        <v>2161</v>
      </c>
      <c r="B831" s="7" t="s">
        <v>847</v>
      </c>
      <c r="C831" s="7" t="s">
        <v>6</v>
      </c>
      <c r="D831" s="9">
        <v>110</v>
      </c>
    </row>
    <row r="832" spans="1:4" ht="15" x14ac:dyDescent="0.2">
      <c r="A832" s="25" t="s">
        <v>2162</v>
      </c>
      <c r="B832" s="7" t="s">
        <v>849</v>
      </c>
      <c r="C832" s="7" t="s">
        <v>6</v>
      </c>
      <c r="D832" s="9">
        <v>145</v>
      </c>
    </row>
    <row r="833" spans="1:4" ht="15" x14ac:dyDescent="0.2">
      <c r="A833" s="25" t="s">
        <v>2163</v>
      </c>
      <c r="B833" s="7" t="s">
        <v>851</v>
      </c>
      <c r="C833" s="7" t="s">
        <v>323</v>
      </c>
      <c r="D833" s="15">
        <v>54</v>
      </c>
    </row>
    <row r="834" spans="1:4" ht="15" x14ac:dyDescent="0.2">
      <c r="A834" s="25" t="s">
        <v>2164</v>
      </c>
      <c r="B834" s="7" t="s">
        <v>852</v>
      </c>
      <c r="C834" s="7" t="s">
        <v>6</v>
      </c>
      <c r="D834" s="31">
        <v>167</v>
      </c>
    </row>
    <row r="835" spans="1:4" ht="15" x14ac:dyDescent="0.2">
      <c r="A835" s="25" t="s">
        <v>2165</v>
      </c>
      <c r="B835" s="7" t="s">
        <v>854</v>
      </c>
      <c r="C835" s="7" t="s">
        <v>6</v>
      </c>
      <c r="D835" s="31">
        <v>120</v>
      </c>
    </row>
    <row r="836" spans="1:4" ht="15" x14ac:dyDescent="0.2">
      <c r="A836" s="25" t="s">
        <v>2166</v>
      </c>
      <c r="B836" s="7" t="s">
        <v>856</v>
      </c>
      <c r="C836" s="7" t="s">
        <v>6</v>
      </c>
      <c r="D836" s="31">
        <v>35</v>
      </c>
    </row>
    <row r="837" spans="1:4" ht="15" x14ac:dyDescent="0.2">
      <c r="A837" s="25" t="s">
        <v>2167</v>
      </c>
      <c r="B837" s="7" t="s">
        <v>858</v>
      </c>
      <c r="C837" s="7" t="s">
        <v>37</v>
      </c>
      <c r="D837" s="31">
        <v>29.5</v>
      </c>
    </row>
    <row r="838" spans="1:4" ht="15" x14ac:dyDescent="0.2">
      <c r="A838" s="25" t="s">
        <v>2168</v>
      </c>
      <c r="B838" s="7" t="s">
        <v>860</v>
      </c>
      <c r="C838" s="7" t="s">
        <v>37</v>
      </c>
      <c r="D838" s="31">
        <v>35</v>
      </c>
    </row>
    <row r="839" spans="1:4" ht="15" x14ac:dyDescent="0.2">
      <c r="A839" s="25" t="s">
        <v>2169</v>
      </c>
      <c r="B839" s="7" t="s">
        <v>862</v>
      </c>
      <c r="C839" s="7" t="s">
        <v>6</v>
      </c>
      <c r="D839" s="31">
        <v>178</v>
      </c>
    </row>
    <row r="840" spans="1:4" ht="15" x14ac:dyDescent="0.2">
      <c r="A840" s="25" t="s">
        <v>2170</v>
      </c>
      <c r="B840" s="7" t="s">
        <v>864</v>
      </c>
      <c r="C840" s="7" t="s">
        <v>6</v>
      </c>
      <c r="D840" s="31">
        <v>5</v>
      </c>
    </row>
    <row r="841" spans="1:4" ht="15" x14ac:dyDescent="0.2">
      <c r="A841" s="25" t="s">
        <v>2171</v>
      </c>
      <c r="B841" s="7" t="s">
        <v>866</v>
      </c>
      <c r="C841" s="7" t="s">
        <v>6</v>
      </c>
      <c r="D841" s="31">
        <v>5</v>
      </c>
    </row>
    <row r="842" spans="1:4" ht="15" x14ac:dyDescent="0.2">
      <c r="A842" s="25" t="s">
        <v>2172</v>
      </c>
      <c r="B842" s="7" t="s">
        <v>868</v>
      </c>
      <c r="C842" s="7" t="s">
        <v>6</v>
      </c>
      <c r="D842" s="31">
        <v>200</v>
      </c>
    </row>
    <row r="843" spans="1:4" ht="15" x14ac:dyDescent="0.2">
      <c r="A843" s="25" t="s">
        <v>2173</v>
      </c>
      <c r="B843" s="7" t="s">
        <v>870</v>
      </c>
      <c r="C843" s="7" t="s">
        <v>101</v>
      </c>
      <c r="D843" s="31">
        <v>99</v>
      </c>
    </row>
    <row r="844" spans="1:4" ht="15" x14ac:dyDescent="0.2">
      <c r="A844" s="25" t="s">
        <v>2174</v>
      </c>
      <c r="B844" s="7" t="s">
        <v>872</v>
      </c>
      <c r="C844" s="7" t="s">
        <v>3</v>
      </c>
      <c r="D844" s="31">
        <v>36</v>
      </c>
    </row>
    <row r="845" spans="1:4" ht="15" x14ac:dyDescent="0.2">
      <c r="A845" s="25" t="s">
        <v>2175</v>
      </c>
      <c r="B845" s="7" t="s">
        <v>874</v>
      </c>
      <c r="C845" s="7" t="s">
        <v>101</v>
      </c>
      <c r="D845" s="31">
        <v>8</v>
      </c>
    </row>
    <row r="846" spans="1:4" ht="15" x14ac:dyDescent="0.2">
      <c r="A846" s="25" t="s">
        <v>2176</v>
      </c>
      <c r="B846" s="7" t="s">
        <v>876</v>
      </c>
      <c r="C846" s="7" t="s">
        <v>101</v>
      </c>
      <c r="D846" s="31">
        <v>8.5</v>
      </c>
    </row>
    <row r="847" spans="1:4" ht="15" x14ac:dyDescent="0.2">
      <c r="A847" s="25" t="s">
        <v>2177</v>
      </c>
      <c r="B847" s="7" t="s">
        <v>878</v>
      </c>
      <c r="C847" s="7" t="s">
        <v>101</v>
      </c>
      <c r="D847" s="31">
        <v>35</v>
      </c>
    </row>
    <row r="848" spans="1:4" ht="15" x14ac:dyDescent="0.2">
      <c r="A848" s="25" t="s">
        <v>2178</v>
      </c>
      <c r="B848" s="7" t="s">
        <v>880</v>
      </c>
      <c r="C848" s="7" t="s">
        <v>3</v>
      </c>
      <c r="D848" s="31">
        <v>19</v>
      </c>
    </row>
    <row r="849" spans="1:4" ht="15" x14ac:dyDescent="0.2">
      <c r="A849" s="25" t="s">
        <v>2179</v>
      </c>
      <c r="B849" s="7" t="s">
        <v>882</v>
      </c>
      <c r="C849" s="7" t="s">
        <v>101</v>
      </c>
      <c r="D849" s="31">
        <v>7.5</v>
      </c>
    </row>
    <row r="850" spans="1:4" ht="15" x14ac:dyDescent="0.2">
      <c r="A850" s="25" t="s">
        <v>2180</v>
      </c>
      <c r="B850" s="7" t="s">
        <v>884</v>
      </c>
      <c r="C850" s="7" t="s">
        <v>101</v>
      </c>
      <c r="D850" s="31">
        <v>7</v>
      </c>
    </row>
    <row r="851" spans="1:4" ht="15" x14ac:dyDescent="0.2">
      <c r="A851" s="25" t="s">
        <v>2181</v>
      </c>
      <c r="B851" s="7" t="s">
        <v>886</v>
      </c>
      <c r="C851" s="7" t="s">
        <v>101</v>
      </c>
      <c r="D851" s="31">
        <v>7.5</v>
      </c>
    </row>
    <row r="852" spans="1:4" ht="15" x14ac:dyDescent="0.2">
      <c r="A852" s="25" t="s">
        <v>2182</v>
      </c>
      <c r="B852" s="7" t="s">
        <v>888</v>
      </c>
      <c r="C852" s="7" t="s">
        <v>101</v>
      </c>
      <c r="D852" s="31">
        <v>33</v>
      </c>
    </row>
    <row r="853" spans="1:4" ht="15" x14ac:dyDescent="0.2">
      <c r="A853" s="25" t="s">
        <v>2183</v>
      </c>
      <c r="B853" s="7" t="s">
        <v>890</v>
      </c>
      <c r="C853" s="7" t="s">
        <v>3</v>
      </c>
      <c r="D853" s="31">
        <v>17.5</v>
      </c>
    </row>
    <row r="854" spans="1:4" ht="15" x14ac:dyDescent="0.2">
      <c r="A854" s="25" t="s">
        <v>2184</v>
      </c>
      <c r="B854" s="7" t="s">
        <v>892</v>
      </c>
      <c r="C854" s="7" t="s">
        <v>605</v>
      </c>
      <c r="D854" s="31">
        <v>10</v>
      </c>
    </row>
    <row r="855" spans="1:4" ht="15" x14ac:dyDescent="0.2">
      <c r="A855" s="25" t="s">
        <v>2185</v>
      </c>
      <c r="B855" s="7" t="s">
        <v>894</v>
      </c>
      <c r="C855" s="7" t="s">
        <v>3</v>
      </c>
      <c r="D855" s="31">
        <v>52</v>
      </c>
    </row>
    <row r="856" spans="1:4" ht="15" x14ac:dyDescent="0.2">
      <c r="A856" s="25" t="s">
        <v>2186</v>
      </c>
      <c r="B856" s="7" t="s">
        <v>896</v>
      </c>
      <c r="C856" s="7" t="s">
        <v>3</v>
      </c>
      <c r="D856" s="31">
        <v>57</v>
      </c>
    </row>
    <row r="857" spans="1:4" ht="15" x14ac:dyDescent="0.2">
      <c r="A857" s="25" t="s">
        <v>2187</v>
      </c>
      <c r="B857" s="7" t="s">
        <v>898</v>
      </c>
      <c r="C857" s="7" t="s">
        <v>123</v>
      </c>
      <c r="D857" s="31">
        <v>22</v>
      </c>
    </row>
    <row r="858" spans="1:4" ht="15" x14ac:dyDescent="0.2">
      <c r="A858" s="25" t="s">
        <v>2188</v>
      </c>
      <c r="B858" s="7" t="s">
        <v>901</v>
      </c>
      <c r="C858" s="7" t="s">
        <v>6</v>
      </c>
      <c r="D858" s="31">
        <v>61.5</v>
      </c>
    </row>
    <row r="859" spans="1:4" ht="15" x14ac:dyDescent="0.2">
      <c r="A859" s="25" t="s">
        <v>2189</v>
      </c>
      <c r="B859" s="7" t="s">
        <v>903</v>
      </c>
      <c r="C859" s="7" t="s">
        <v>6</v>
      </c>
      <c r="D859" s="31">
        <v>240</v>
      </c>
    </row>
    <row r="860" spans="1:4" ht="15" x14ac:dyDescent="0.2">
      <c r="A860" s="25" t="s">
        <v>2190</v>
      </c>
      <c r="B860" s="7" t="s">
        <v>905</v>
      </c>
      <c r="C860" s="7" t="s">
        <v>6</v>
      </c>
      <c r="D860" s="31">
        <v>178</v>
      </c>
    </row>
    <row r="861" spans="1:4" ht="15" x14ac:dyDescent="0.2">
      <c r="A861" s="25" t="s">
        <v>2191</v>
      </c>
      <c r="B861" s="7" t="s">
        <v>907</v>
      </c>
      <c r="C861" s="7" t="s">
        <v>6</v>
      </c>
      <c r="D861" s="31">
        <v>125</v>
      </c>
    </row>
    <row r="862" spans="1:4" ht="15" x14ac:dyDescent="0.2">
      <c r="A862" s="25" t="s">
        <v>2192</v>
      </c>
      <c r="B862" s="7" t="s">
        <v>909</v>
      </c>
      <c r="C862" s="7" t="s">
        <v>6</v>
      </c>
      <c r="D862" s="31">
        <v>52</v>
      </c>
    </row>
    <row r="863" spans="1:4" ht="15" x14ac:dyDescent="0.2">
      <c r="A863" s="25" t="s">
        <v>2193</v>
      </c>
      <c r="B863" s="7" t="s">
        <v>911</v>
      </c>
      <c r="C863" s="7" t="s">
        <v>6</v>
      </c>
      <c r="D863" s="31">
        <v>60</v>
      </c>
    </row>
    <row r="864" spans="1:4" ht="15" x14ac:dyDescent="0.2">
      <c r="A864" s="25" t="s">
        <v>2194</v>
      </c>
      <c r="B864" s="7" t="s">
        <v>913</v>
      </c>
      <c r="C864" s="7" t="s">
        <v>6</v>
      </c>
      <c r="D864" s="31">
        <v>27</v>
      </c>
    </row>
    <row r="865" spans="1:4" ht="15" x14ac:dyDescent="0.2">
      <c r="A865" s="25" t="s">
        <v>2195</v>
      </c>
      <c r="B865" s="7" t="s">
        <v>915</v>
      </c>
      <c r="C865" s="7" t="s">
        <v>6</v>
      </c>
      <c r="D865" s="31">
        <v>23</v>
      </c>
    </row>
    <row r="866" spans="1:4" ht="15" x14ac:dyDescent="0.2">
      <c r="A866" s="25" t="s">
        <v>2196</v>
      </c>
      <c r="B866" s="7" t="s">
        <v>917</v>
      </c>
      <c r="C866" s="7" t="s">
        <v>3</v>
      </c>
      <c r="D866" s="31">
        <v>72</v>
      </c>
    </row>
    <row r="867" spans="1:4" ht="15" x14ac:dyDescent="0.2">
      <c r="A867" s="25" t="s">
        <v>2197</v>
      </c>
      <c r="B867" s="7" t="s">
        <v>919</v>
      </c>
      <c r="C867" s="7" t="s">
        <v>3</v>
      </c>
      <c r="D867" s="31">
        <v>28.5</v>
      </c>
    </row>
    <row r="868" spans="1:4" ht="15" x14ac:dyDescent="0.2">
      <c r="A868" s="25" t="s">
        <v>2198</v>
      </c>
      <c r="B868" s="7" t="s">
        <v>921</v>
      </c>
      <c r="C868" s="7" t="s">
        <v>6</v>
      </c>
      <c r="D868" s="31">
        <v>202.5</v>
      </c>
    </row>
    <row r="869" spans="1:4" ht="15" x14ac:dyDescent="0.2">
      <c r="A869" s="25" t="s">
        <v>2199</v>
      </c>
      <c r="B869" s="7" t="s">
        <v>923</v>
      </c>
      <c r="C869" s="7" t="s">
        <v>3</v>
      </c>
      <c r="D869" s="31">
        <v>85.6</v>
      </c>
    </row>
    <row r="870" spans="1:4" ht="15" x14ac:dyDescent="0.2">
      <c r="A870" s="25" t="s">
        <v>2200</v>
      </c>
      <c r="B870" s="7" t="s">
        <v>925</v>
      </c>
      <c r="C870" s="7" t="s">
        <v>6</v>
      </c>
      <c r="D870" s="31">
        <v>23.5</v>
      </c>
    </row>
    <row r="871" spans="1:4" ht="15" x14ac:dyDescent="0.2">
      <c r="A871" s="25" t="s">
        <v>2201</v>
      </c>
      <c r="B871" s="7" t="s">
        <v>927</v>
      </c>
      <c r="C871" s="7" t="s">
        <v>6</v>
      </c>
      <c r="D871" s="31">
        <v>35</v>
      </c>
    </row>
    <row r="872" spans="1:4" ht="15" x14ac:dyDescent="0.2">
      <c r="A872" s="25" t="s">
        <v>2202</v>
      </c>
      <c r="B872" s="7" t="s">
        <v>929</v>
      </c>
      <c r="C872" s="7" t="s">
        <v>6</v>
      </c>
      <c r="D872" s="31">
        <v>32.5</v>
      </c>
    </row>
    <row r="873" spans="1:4" ht="15" x14ac:dyDescent="0.2">
      <c r="A873" s="25" t="s">
        <v>2203</v>
      </c>
      <c r="B873" s="7" t="s">
        <v>931</v>
      </c>
      <c r="C873" s="7" t="s">
        <v>6</v>
      </c>
      <c r="D873" s="31">
        <v>28</v>
      </c>
    </row>
    <row r="874" spans="1:4" ht="15" x14ac:dyDescent="0.2">
      <c r="A874" s="25" t="s">
        <v>2204</v>
      </c>
      <c r="B874" s="7" t="s">
        <v>933</v>
      </c>
      <c r="C874" s="7" t="s">
        <v>6</v>
      </c>
      <c r="D874" s="31">
        <v>33</v>
      </c>
    </row>
    <row r="875" spans="1:4" ht="15" x14ac:dyDescent="0.2">
      <c r="A875" s="25" t="s">
        <v>2205</v>
      </c>
      <c r="B875" s="7" t="s">
        <v>935</v>
      </c>
      <c r="C875" s="7" t="s">
        <v>6</v>
      </c>
      <c r="D875" s="31">
        <v>175</v>
      </c>
    </row>
    <row r="876" spans="1:4" ht="15" x14ac:dyDescent="0.2">
      <c r="A876" s="25" t="s">
        <v>2206</v>
      </c>
      <c r="B876" s="7" t="s">
        <v>937</v>
      </c>
      <c r="C876" s="7" t="s">
        <v>3</v>
      </c>
      <c r="D876" s="31">
        <v>5.5</v>
      </c>
    </row>
    <row r="877" spans="1:4" ht="15" x14ac:dyDescent="0.2">
      <c r="A877" s="25" t="s">
        <v>2207</v>
      </c>
      <c r="B877" s="7" t="s">
        <v>939</v>
      </c>
      <c r="C877" s="7" t="s">
        <v>940</v>
      </c>
      <c r="D877" s="31">
        <v>105</v>
      </c>
    </row>
    <row r="878" spans="1:4" ht="15" x14ac:dyDescent="0.2">
      <c r="A878" s="25" t="s">
        <v>2208</v>
      </c>
      <c r="B878" s="7" t="s">
        <v>942</v>
      </c>
      <c r="C878" s="7" t="s">
        <v>3</v>
      </c>
      <c r="D878" s="31">
        <v>15</v>
      </c>
    </row>
    <row r="879" spans="1:4" ht="15" x14ac:dyDescent="0.2">
      <c r="A879" s="25" t="s">
        <v>2209</v>
      </c>
      <c r="B879" s="7" t="s">
        <v>944</v>
      </c>
      <c r="C879" s="7" t="s">
        <v>6</v>
      </c>
      <c r="D879" s="31">
        <v>12.2</v>
      </c>
    </row>
    <row r="880" spans="1:4" ht="15" x14ac:dyDescent="0.2">
      <c r="A880" s="25" t="s">
        <v>2210</v>
      </c>
      <c r="B880" s="7" t="s">
        <v>946</v>
      </c>
      <c r="C880" s="7" t="s">
        <v>6</v>
      </c>
      <c r="D880" s="31">
        <v>12.5</v>
      </c>
    </row>
    <row r="881" spans="1:4" ht="15" x14ac:dyDescent="0.2">
      <c r="A881" s="25" t="s">
        <v>2211</v>
      </c>
      <c r="B881" s="7" t="s">
        <v>948</v>
      </c>
      <c r="C881" s="7" t="s">
        <v>6</v>
      </c>
      <c r="D881" s="31">
        <v>6.5</v>
      </c>
    </row>
    <row r="882" spans="1:4" ht="15" x14ac:dyDescent="0.2">
      <c r="A882" s="25" t="s">
        <v>2212</v>
      </c>
      <c r="B882" s="7" t="s">
        <v>950</v>
      </c>
      <c r="C882" s="7" t="s">
        <v>6</v>
      </c>
      <c r="D882" s="31">
        <v>60</v>
      </c>
    </row>
    <row r="883" spans="1:4" ht="15" x14ac:dyDescent="0.2">
      <c r="A883" s="25" t="s">
        <v>2213</v>
      </c>
      <c r="B883" s="7" t="s">
        <v>952</v>
      </c>
      <c r="C883" s="7" t="s">
        <v>37</v>
      </c>
      <c r="D883" s="31">
        <v>69.5</v>
      </c>
    </row>
    <row r="884" spans="1:4" ht="15" x14ac:dyDescent="0.2">
      <c r="A884" s="25" t="s">
        <v>2214</v>
      </c>
      <c r="B884" s="7" t="s">
        <v>954</v>
      </c>
      <c r="C884" s="7" t="s">
        <v>37</v>
      </c>
      <c r="D884" s="31">
        <v>105</v>
      </c>
    </row>
    <row r="885" spans="1:4" ht="15" x14ac:dyDescent="0.2">
      <c r="A885" s="25" t="s">
        <v>2215</v>
      </c>
      <c r="B885" s="7" t="s">
        <v>956</v>
      </c>
      <c r="C885" s="7" t="s">
        <v>323</v>
      </c>
      <c r="D885" s="32">
        <v>40</v>
      </c>
    </row>
    <row r="886" spans="1:4" ht="15" x14ac:dyDescent="0.2">
      <c r="A886" s="25" t="s">
        <v>2216</v>
      </c>
      <c r="B886" s="7" t="s">
        <v>853</v>
      </c>
      <c r="C886" s="7" t="s">
        <v>6</v>
      </c>
      <c r="D886" s="9">
        <v>35</v>
      </c>
    </row>
    <row r="887" spans="1:4" ht="15" x14ac:dyDescent="0.2">
      <c r="A887" s="25" t="s">
        <v>2217</v>
      </c>
      <c r="B887" s="7" t="s">
        <v>855</v>
      </c>
      <c r="C887" s="7" t="s">
        <v>6</v>
      </c>
      <c r="D887" s="9">
        <v>56.5</v>
      </c>
    </row>
    <row r="888" spans="1:4" ht="15" x14ac:dyDescent="0.2">
      <c r="A888" s="25" t="s">
        <v>2218</v>
      </c>
      <c r="B888" s="7" t="s">
        <v>857</v>
      </c>
      <c r="C888" s="7" t="s">
        <v>6</v>
      </c>
      <c r="D888" s="9">
        <v>59</v>
      </c>
    </row>
    <row r="889" spans="1:4" ht="15" x14ac:dyDescent="0.2">
      <c r="A889" s="25" t="s">
        <v>2219</v>
      </c>
      <c r="B889" s="7" t="s">
        <v>859</v>
      </c>
      <c r="C889" s="7" t="s">
        <v>101</v>
      </c>
      <c r="D889" s="9">
        <v>58</v>
      </c>
    </row>
    <row r="890" spans="1:4" ht="15" x14ac:dyDescent="0.2">
      <c r="A890" s="25" t="s">
        <v>2220</v>
      </c>
      <c r="B890" s="7" t="s">
        <v>861</v>
      </c>
      <c r="C890" s="7" t="s">
        <v>6</v>
      </c>
      <c r="D890" s="9">
        <v>25.5</v>
      </c>
    </row>
    <row r="891" spans="1:4" ht="15" x14ac:dyDescent="0.2">
      <c r="A891" s="25" t="s">
        <v>2221</v>
      </c>
      <c r="B891" s="7" t="s">
        <v>863</v>
      </c>
      <c r="C891" s="7" t="s">
        <v>6</v>
      </c>
      <c r="D891" s="9">
        <v>20</v>
      </c>
    </row>
    <row r="892" spans="1:4" ht="15" x14ac:dyDescent="0.2">
      <c r="A892" s="25" t="s">
        <v>2222</v>
      </c>
      <c r="B892" s="7" t="s">
        <v>865</v>
      </c>
      <c r="C892" s="7" t="s">
        <v>101</v>
      </c>
      <c r="D892" s="9">
        <v>165</v>
      </c>
    </row>
    <row r="893" spans="1:4" ht="15" x14ac:dyDescent="0.2">
      <c r="A893" s="25" t="s">
        <v>2223</v>
      </c>
      <c r="B893" s="7" t="s">
        <v>867</v>
      </c>
      <c r="C893" s="7" t="s">
        <v>6</v>
      </c>
      <c r="D893" s="9">
        <v>23.5</v>
      </c>
    </row>
    <row r="894" spans="1:4" ht="15" x14ac:dyDescent="0.2">
      <c r="A894" s="25" t="s">
        <v>2224</v>
      </c>
      <c r="B894" s="7" t="s">
        <v>869</v>
      </c>
      <c r="C894" s="7" t="s">
        <v>6</v>
      </c>
      <c r="D894" s="9">
        <v>250</v>
      </c>
    </row>
    <row r="895" spans="1:4" ht="15" x14ac:dyDescent="0.2">
      <c r="A895" s="25" t="s">
        <v>2225</v>
      </c>
      <c r="B895" s="7" t="s">
        <v>871</v>
      </c>
      <c r="C895" s="7" t="s">
        <v>6</v>
      </c>
      <c r="D895" s="9">
        <v>38</v>
      </c>
    </row>
    <row r="896" spans="1:4" ht="15" x14ac:dyDescent="0.2">
      <c r="A896" s="25" t="s">
        <v>2226</v>
      </c>
      <c r="B896" s="7" t="s">
        <v>873</v>
      </c>
      <c r="C896" s="7" t="s">
        <v>6</v>
      </c>
      <c r="D896" s="9">
        <v>30</v>
      </c>
    </row>
    <row r="897" spans="1:4" ht="15" x14ac:dyDescent="0.2">
      <c r="A897" s="25" t="s">
        <v>2227</v>
      </c>
      <c r="B897" s="7" t="s">
        <v>875</v>
      </c>
      <c r="C897" s="7" t="s">
        <v>6</v>
      </c>
      <c r="D897" s="9">
        <v>22.5</v>
      </c>
    </row>
    <row r="898" spans="1:4" ht="15" x14ac:dyDescent="0.2">
      <c r="A898" s="25" t="s">
        <v>2228</v>
      </c>
      <c r="B898" s="7" t="s">
        <v>877</v>
      </c>
      <c r="C898" s="7" t="s">
        <v>3</v>
      </c>
      <c r="D898" s="9">
        <v>8</v>
      </c>
    </row>
    <row r="899" spans="1:4" ht="15" x14ac:dyDescent="0.2">
      <c r="A899" s="25" t="s">
        <v>2229</v>
      </c>
      <c r="B899" s="7" t="s">
        <v>879</v>
      </c>
      <c r="C899" s="7" t="s">
        <v>6</v>
      </c>
      <c r="D899" s="9">
        <v>132</v>
      </c>
    </row>
    <row r="900" spans="1:4" ht="15" x14ac:dyDescent="0.2">
      <c r="A900" s="25" t="s">
        <v>2230</v>
      </c>
      <c r="B900" s="7" t="s">
        <v>881</v>
      </c>
      <c r="C900" s="7" t="s">
        <v>6</v>
      </c>
      <c r="D900" s="9">
        <v>28</v>
      </c>
    </row>
    <row r="901" spans="1:4" ht="15" x14ac:dyDescent="0.2">
      <c r="A901" s="25" t="s">
        <v>2231</v>
      </c>
      <c r="B901" s="7" t="s">
        <v>883</v>
      </c>
      <c r="C901" s="7" t="s">
        <v>516</v>
      </c>
      <c r="D901" s="9">
        <v>1.5</v>
      </c>
    </row>
    <row r="902" spans="1:4" ht="15" x14ac:dyDescent="0.2">
      <c r="A902" s="25" t="s">
        <v>2232</v>
      </c>
      <c r="B902" s="7" t="s">
        <v>885</v>
      </c>
      <c r="C902" s="7" t="s">
        <v>6</v>
      </c>
      <c r="D902" s="9">
        <v>18.5</v>
      </c>
    </row>
    <row r="903" spans="1:4" ht="15" x14ac:dyDescent="0.2">
      <c r="A903" s="25" t="s">
        <v>2233</v>
      </c>
      <c r="B903" s="7" t="s">
        <v>887</v>
      </c>
      <c r="C903" s="7" t="s">
        <v>37</v>
      </c>
      <c r="D903" s="9">
        <v>55</v>
      </c>
    </row>
    <row r="904" spans="1:4" ht="15" x14ac:dyDescent="0.2">
      <c r="A904" s="25" t="s">
        <v>2234</v>
      </c>
      <c r="B904" s="7" t="s">
        <v>889</v>
      </c>
      <c r="C904" s="7" t="s">
        <v>3</v>
      </c>
      <c r="D904" s="9">
        <v>18</v>
      </c>
    </row>
    <row r="905" spans="1:4" ht="15" x14ac:dyDescent="0.2">
      <c r="A905" s="25" t="s">
        <v>2235</v>
      </c>
      <c r="B905" s="7" t="s">
        <v>891</v>
      </c>
      <c r="C905" s="7" t="s">
        <v>37</v>
      </c>
      <c r="D905" s="9">
        <v>41</v>
      </c>
    </row>
    <row r="906" spans="1:4" ht="15" x14ac:dyDescent="0.2">
      <c r="A906" s="25" t="s">
        <v>2236</v>
      </c>
      <c r="B906" s="7" t="s">
        <v>893</v>
      </c>
      <c r="C906" s="7" t="s">
        <v>37</v>
      </c>
      <c r="D906" s="9">
        <v>17</v>
      </c>
    </row>
    <row r="907" spans="1:4" ht="15" x14ac:dyDescent="0.2">
      <c r="A907" s="25" t="s">
        <v>2237</v>
      </c>
      <c r="B907" s="7" t="s">
        <v>895</v>
      </c>
      <c r="C907" s="7" t="s">
        <v>37</v>
      </c>
      <c r="D907" s="9">
        <v>27.5</v>
      </c>
    </row>
    <row r="908" spans="1:4" ht="15" x14ac:dyDescent="0.2">
      <c r="A908" s="25" t="s">
        <v>2238</v>
      </c>
      <c r="B908" s="7" t="s">
        <v>897</v>
      </c>
      <c r="C908" s="7" t="s">
        <v>6</v>
      </c>
      <c r="D908" s="9">
        <v>21.5</v>
      </c>
    </row>
    <row r="909" spans="1:4" ht="15" x14ac:dyDescent="0.2">
      <c r="A909" s="25" t="s">
        <v>2239</v>
      </c>
      <c r="B909" s="7" t="s">
        <v>899</v>
      </c>
      <c r="C909" s="7" t="s">
        <v>900</v>
      </c>
      <c r="D909" s="9">
        <v>100</v>
      </c>
    </row>
    <row r="910" spans="1:4" ht="15" x14ac:dyDescent="0.2">
      <c r="A910" s="25" t="s">
        <v>2240</v>
      </c>
      <c r="B910" s="7" t="s">
        <v>902</v>
      </c>
      <c r="C910" s="7" t="s">
        <v>6</v>
      </c>
      <c r="D910" s="9">
        <v>80</v>
      </c>
    </row>
    <row r="911" spans="1:4" ht="15" x14ac:dyDescent="0.2">
      <c r="A911" s="25" t="s">
        <v>2241</v>
      </c>
      <c r="B911" s="7" t="s">
        <v>904</v>
      </c>
      <c r="C911" s="7" t="s">
        <v>6</v>
      </c>
      <c r="D911" s="9">
        <v>258</v>
      </c>
    </row>
    <row r="912" spans="1:4" ht="15" x14ac:dyDescent="0.2">
      <c r="A912" s="25" t="s">
        <v>2242</v>
      </c>
      <c r="B912" s="7" t="s">
        <v>906</v>
      </c>
      <c r="C912" s="7" t="s">
        <v>6</v>
      </c>
      <c r="D912" s="9">
        <v>119</v>
      </c>
    </row>
    <row r="913" spans="1:4" ht="15" x14ac:dyDescent="0.2">
      <c r="A913" s="25" t="s">
        <v>2243</v>
      </c>
      <c r="B913" s="7" t="s">
        <v>908</v>
      </c>
      <c r="C913" s="7" t="s">
        <v>3</v>
      </c>
      <c r="D913" s="9">
        <v>230</v>
      </c>
    </row>
    <row r="914" spans="1:4" ht="15" x14ac:dyDescent="0.2">
      <c r="A914" s="25" t="s">
        <v>2244</v>
      </c>
      <c r="B914" s="7" t="s">
        <v>910</v>
      </c>
      <c r="C914" s="7" t="s">
        <v>6</v>
      </c>
      <c r="D914" s="9">
        <v>26</v>
      </c>
    </row>
    <row r="915" spans="1:4" ht="15" x14ac:dyDescent="0.2">
      <c r="A915" s="25" t="s">
        <v>2245</v>
      </c>
      <c r="B915" s="7" t="s">
        <v>912</v>
      </c>
      <c r="C915" s="7" t="s">
        <v>6</v>
      </c>
      <c r="D915" s="9">
        <v>44.5</v>
      </c>
    </row>
    <row r="916" spans="1:4" ht="15" x14ac:dyDescent="0.2">
      <c r="A916" s="25" t="s">
        <v>2246</v>
      </c>
      <c r="B916" s="7" t="s">
        <v>914</v>
      </c>
      <c r="C916" s="7" t="s">
        <v>6</v>
      </c>
      <c r="D916" s="9">
        <v>37.5</v>
      </c>
    </row>
    <row r="917" spans="1:4" ht="15" x14ac:dyDescent="0.2">
      <c r="A917" s="25" t="s">
        <v>2247</v>
      </c>
      <c r="B917" s="7" t="s">
        <v>916</v>
      </c>
      <c r="C917" s="7" t="s">
        <v>6</v>
      </c>
      <c r="D917" s="9">
        <v>37</v>
      </c>
    </row>
    <row r="918" spans="1:4" ht="15" x14ac:dyDescent="0.2">
      <c r="A918" s="25" t="s">
        <v>2248</v>
      </c>
      <c r="B918" s="7" t="s">
        <v>918</v>
      </c>
      <c r="C918" s="7" t="s">
        <v>3</v>
      </c>
      <c r="D918" s="9">
        <v>135</v>
      </c>
    </row>
    <row r="919" spans="1:4" ht="15" x14ac:dyDescent="0.2">
      <c r="A919" s="25" t="s">
        <v>2249</v>
      </c>
      <c r="B919" s="7" t="s">
        <v>920</v>
      </c>
      <c r="C919" s="7" t="s">
        <v>3</v>
      </c>
      <c r="D919" s="9">
        <v>95</v>
      </c>
    </row>
    <row r="920" spans="1:4" ht="15" x14ac:dyDescent="0.2">
      <c r="A920" s="25" t="s">
        <v>2250</v>
      </c>
      <c r="B920" s="7" t="s">
        <v>922</v>
      </c>
      <c r="C920" s="7" t="s">
        <v>6</v>
      </c>
      <c r="D920" s="9">
        <v>29.5</v>
      </c>
    </row>
    <row r="921" spans="1:4" ht="15" x14ac:dyDescent="0.2">
      <c r="A921" s="25" t="s">
        <v>2251</v>
      </c>
      <c r="B921" s="7" t="s">
        <v>924</v>
      </c>
      <c r="C921" s="7" t="s">
        <v>6</v>
      </c>
      <c r="D921" s="9">
        <v>25</v>
      </c>
    </row>
    <row r="922" spans="1:4" ht="15" x14ac:dyDescent="0.2">
      <c r="A922" s="25" t="s">
        <v>2252</v>
      </c>
      <c r="B922" s="7" t="s">
        <v>926</v>
      </c>
      <c r="C922" s="7" t="s">
        <v>6</v>
      </c>
      <c r="D922" s="9">
        <v>24</v>
      </c>
    </row>
    <row r="923" spans="1:4" ht="15" x14ac:dyDescent="0.2">
      <c r="A923" s="25" t="s">
        <v>2253</v>
      </c>
      <c r="B923" s="7" t="s">
        <v>928</v>
      </c>
      <c r="C923" s="7" t="s">
        <v>6</v>
      </c>
      <c r="D923" s="9">
        <v>97</v>
      </c>
    </row>
    <row r="924" spans="1:4" ht="15" x14ac:dyDescent="0.2">
      <c r="A924" s="25" t="s">
        <v>2254</v>
      </c>
      <c r="B924" s="7" t="s">
        <v>930</v>
      </c>
      <c r="C924" s="7" t="s">
        <v>6</v>
      </c>
      <c r="D924" s="9">
        <v>25</v>
      </c>
    </row>
    <row r="925" spans="1:4" ht="15" x14ac:dyDescent="0.2">
      <c r="A925" s="25" t="s">
        <v>2255</v>
      </c>
      <c r="B925" s="7" t="s">
        <v>932</v>
      </c>
      <c r="C925" s="7" t="s">
        <v>608</v>
      </c>
      <c r="D925" s="9">
        <v>1.2</v>
      </c>
    </row>
    <row r="926" spans="1:4" ht="15" x14ac:dyDescent="0.2">
      <c r="A926" s="25" t="s">
        <v>2256</v>
      </c>
      <c r="B926" s="7" t="s">
        <v>934</v>
      </c>
      <c r="C926" s="7" t="s">
        <v>6</v>
      </c>
      <c r="D926" s="9">
        <v>35</v>
      </c>
    </row>
    <row r="927" spans="1:4" ht="15" x14ac:dyDescent="0.2">
      <c r="A927" s="25" t="s">
        <v>2257</v>
      </c>
      <c r="B927" s="7" t="s">
        <v>936</v>
      </c>
      <c r="C927" s="7" t="s">
        <v>6</v>
      </c>
      <c r="D927" s="9">
        <v>37</v>
      </c>
    </row>
    <row r="928" spans="1:4" ht="15" x14ac:dyDescent="0.2">
      <c r="A928" s="25" t="s">
        <v>2258</v>
      </c>
      <c r="B928" s="7" t="s">
        <v>938</v>
      </c>
      <c r="C928" s="7" t="s">
        <v>3</v>
      </c>
      <c r="D928" s="9">
        <v>38</v>
      </c>
    </row>
    <row r="929" spans="1:4" ht="15" x14ac:dyDescent="0.2">
      <c r="A929" s="25" t="s">
        <v>2259</v>
      </c>
      <c r="B929" s="7" t="s">
        <v>941</v>
      </c>
      <c r="C929" s="7" t="s">
        <v>101</v>
      </c>
      <c r="D929" s="9">
        <v>12</v>
      </c>
    </row>
    <row r="930" spans="1:4" ht="15" x14ac:dyDescent="0.2">
      <c r="A930" s="25" t="s">
        <v>2260</v>
      </c>
      <c r="B930" s="7" t="s">
        <v>943</v>
      </c>
      <c r="C930" s="7" t="s">
        <v>6</v>
      </c>
      <c r="D930" s="9">
        <v>28</v>
      </c>
    </row>
    <row r="931" spans="1:4" ht="15" x14ac:dyDescent="0.2">
      <c r="A931" s="25" t="s">
        <v>2261</v>
      </c>
      <c r="B931" s="7" t="s">
        <v>945</v>
      </c>
      <c r="C931" s="7" t="s">
        <v>6</v>
      </c>
      <c r="D931" s="9">
        <v>177</v>
      </c>
    </row>
    <row r="932" spans="1:4" ht="15" x14ac:dyDescent="0.2">
      <c r="A932" s="25" t="s">
        <v>2262</v>
      </c>
      <c r="B932" s="7" t="s">
        <v>947</v>
      </c>
      <c r="C932" s="7" t="s">
        <v>6</v>
      </c>
      <c r="D932" s="9">
        <v>73</v>
      </c>
    </row>
    <row r="933" spans="1:4" ht="15" x14ac:dyDescent="0.2">
      <c r="A933" s="25" t="s">
        <v>2263</v>
      </c>
      <c r="B933" s="7" t="s">
        <v>949</v>
      </c>
      <c r="C933" s="7" t="s">
        <v>6</v>
      </c>
      <c r="D933" s="9">
        <v>38.200000000000003</v>
      </c>
    </row>
    <row r="934" spans="1:4" ht="15" x14ac:dyDescent="0.2">
      <c r="A934" s="25" t="s">
        <v>2264</v>
      </c>
      <c r="B934" s="7" t="s">
        <v>951</v>
      </c>
      <c r="C934" s="7" t="s">
        <v>6</v>
      </c>
      <c r="D934" s="9">
        <v>54</v>
      </c>
    </row>
    <row r="935" spans="1:4" ht="15" x14ac:dyDescent="0.2">
      <c r="A935" s="25" t="s">
        <v>2265</v>
      </c>
      <c r="B935" s="7" t="s">
        <v>953</v>
      </c>
      <c r="C935" s="7" t="s">
        <v>6</v>
      </c>
      <c r="D935" s="9">
        <v>87</v>
      </c>
    </row>
    <row r="936" spans="1:4" ht="15" x14ac:dyDescent="0.2">
      <c r="A936" s="25" t="s">
        <v>2266</v>
      </c>
      <c r="B936" s="7" t="s">
        <v>955</v>
      </c>
      <c r="C936" s="7" t="s">
        <v>6</v>
      </c>
      <c r="D936" s="9">
        <v>34</v>
      </c>
    </row>
    <row r="937" spans="1:4" ht="15" x14ac:dyDescent="0.2">
      <c r="A937" s="25" t="s">
        <v>2267</v>
      </c>
      <c r="B937" s="7" t="s">
        <v>957</v>
      </c>
      <c r="C937" s="7" t="s">
        <v>323</v>
      </c>
      <c r="D937" s="15">
        <v>80</v>
      </c>
    </row>
    <row r="938" spans="1:4" ht="15" x14ac:dyDescent="0.2">
      <c r="A938" s="25" t="s">
        <v>2268</v>
      </c>
      <c r="B938" s="7" t="s">
        <v>958</v>
      </c>
      <c r="C938" s="7" t="s">
        <v>6</v>
      </c>
      <c r="D938" s="31">
        <v>47</v>
      </c>
    </row>
    <row r="939" spans="1:4" ht="15" x14ac:dyDescent="0.2">
      <c r="A939" s="25" t="s">
        <v>2269</v>
      </c>
      <c r="B939" s="7" t="s">
        <v>960</v>
      </c>
      <c r="C939" s="7" t="s">
        <v>3</v>
      </c>
      <c r="D939" s="31">
        <v>25</v>
      </c>
    </row>
    <row r="940" spans="1:4" ht="15" x14ac:dyDescent="0.2">
      <c r="A940" s="25" t="s">
        <v>2270</v>
      </c>
      <c r="B940" s="7" t="s">
        <v>962</v>
      </c>
      <c r="C940" s="7" t="s">
        <v>3</v>
      </c>
      <c r="D940" s="31">
        <v>20.5</v>
      </c>
    </row>
    <row r="941" spans="1:4" ht="15" x14ac:dyDescent="0.2">
      <c r="A941" s="25" t="s">
        <v>2271</v>
      </c>
      <c r="B941" s="7" t="s">
        <v>964</v>
      </c>
      <c r="C941" s="7" t="s">
        <v>6</v>
      </c>
      <c r="D941" s="31">
        <v>78</v>
      </c>
    </row>
    <row r="942" spans="1:4" ht="15" x14ac:dyDescent="0.2">
      <c r="A942" s="25" t="s">
        <v>2272</v>
      </c>
      <c r="B942" s="7" t="s">
        <v>966</v>
      </c>
      <c r="C942" s="7" t="s">
        <v>6</v>
      </c>
      <c r="D942" s="31">
        <v>34</v>
      </c>
    </row>
    <row r="943" spans="1:4" ht="15" x14ac:dyDescent="0.2">
      <c r="A943" s="25" t="s">
        <v>2273</v>
      </c>
      <c r="B943" s="7" t="s">
        <v>968</v>
      </c>
      <c r="C943" s="7" t="s">
        <v>3</v>
      </c>
      <c r="D943" s="31">
        <v>178</v>
      </c>
    </row>
    <row r="944" spans="1:4" ht="15" x14ac:dyDescent="0.2">
      <c r="A944" s="25" t="s">
        <v>2274</v>
      </c>
      <c r="B944" s="7" t="s">
        <v>970</v>
      </c>
      <c r="C944" s="7" t="s">
        <v>6</v>
      </c>
      <c r="D944" s="31">
        <v>25</v>
      </c>
    </row>
    <row r="945" spans="1:4" ht="15" x14ac:dyDescent="0.2">
      <c r="A945" s="25" t="s">
        <v>2275</v>
      </c>
      <c r="B945" s="7" t="s">
        <v>972</v>
      </c>
      <c r="C945" s="7" t="s">
        <v>3</v>
      </c>
      <c r="D945" s="31">
        <v>19</v>
      </c>
    </row>
    <row r="946" spans="1:4" ht="15" x14ac:dyDescent="0.2">
      <c r="A946" s="25" t="s">
        <v>2276</v>
      </c>
      <c r="B946" s="7" t="s">
        <v>974</v>
      </c>
      <c r="C946" s="7" t="s">
        <v>12</v>
      </c>
      <c r="D946" s="31">
        <v>11.5</v>
      </c>
    </row>
    <row r="947" spans="1:4" ht="15" x14ac:dyDescent="0.2">
      <c r="A947" s="25" t="s">
        <v>2277</v>
      </c>
      <c r="B947" s="7" t="s">
        <v>976</v>
      </c>
      <c r="C947" s="7" t="s">
        <v>6</v>
      </c>
      <c r="D947" s="31">
        <v>16</v>
      </c>
    </row>
    <row r="948" spans="1:4" ht="15" x14ac:dyDescent="0.2">
      <c r="A948" s="25" t="s">
        <v>2278</v>
      </c>
      <c r="B948" s="7" t="s">
        <v>978</v>
      </c>
      <c r="C948" s="7" t="s">
        <v>3</v>
      </c>
      <c r="D948" s="31">
        <v>57</v>
      </c>
    </row>
    <row r="949" spans="1:4" ht="15" x14ac:dyDescent="0.2">
      <c r="A949" s="25" t="s">
        <v>2279</v>
      </c>
      <c r="B949" s="7" t="s">
        <v>980</v>
      </c>
      <c r="C949" s="7" t="s">
        <v>6</v>
      </c>
      <c r="D949" s="31">
        <v>55</v>
      </c>
    </row>
    <row r="950" spans="1:4" ht="15" x14ac:dyDescent="0.2">
      <c r="A950" s="25" t="s">
        <v>2280</v>
      </c>
      <c r="B950" s="7" t="s">
        <v>982</v>
      </c>
      <c r="C950" s="7" t="s">
        <v>6</v>
      </c>
      <c r="D950" s="31">
        <v>140</v>
      </c>
    </row>
    <row r="951" spans="1:4" ht="15" x14ac:dyDescent="0.2">
      <c r="A951" s="25" t="s">
        <v>2281</v>
      </c>
      <c r="B951" s="7" t="s">
        <v>984</v>
      </c>
      <c r="C951" s="7" t="s">
        <v>6</v>
      </c>
      <c r="D951" s="31">
        <v>176</v>
      </c>
    </row>
    <row r="952" spans="1:4" ht="15" x14ac:dyDescent="0.2">
      <c r="A952" s="25" t="s">
        <v>2282</v>
      </c>
      <c r="B952" s="7" t="s">
        <v>986</v>
      </c>
      <c r="C952" s="7" t="s">
        <v>6</v>
      </c>
      <c r="D952" s="31">
        <v>21</v>
      </c>
    </row>
    <row r="953" spans="1:4" ht="15" x14ac:dyDescent="0.2">
      <c r="A953" s="25" t="s">
        <v>2283</v>
      </c>
      <c r="B953" s="7" t="s">
        <v>988</v>
      </c>
      <c r="C953" s="7" t="s">
        <v>3</v>
      </c>
      <c r="D953" s="31">
        <v>51</v>
      </c>
    </row>
    <row r="954" spans="1:4" ht="15" x14ac:dyDescent="0.2">
      <c r="A954" s="25" t="s">
        <v>2284</v>
      </c>
      <c r="B954" s="7" t="s">
        <v>990</v>
      </c>
      <c r="C954" s="7" t="s">
        <v>3</v>
      </c>
      <c r="D954" s="31">
        <v>26</v>
      </c>
    </row>
    <row r="955" spans="1:4" ht="15" x14ac:dyDescent="0.2">
      <c r="A955" s="25" t="s">
        <v>2285</v>
      </c>
      <c r="B955" s="7" t="s">
        <v>992</v>
      </c>
      <c r="C955" s="7" t="s">
        <v>3</v>
      </c>
      <c r="D955" s="31">
        <v>20.5</v>
      </c>
    </row>
    <row r="956" spans="1:4" ht="15" x14ac:dyDescent="0.2">
      <c r="A956" s="25" t="s">
        <v>2286</v>
      </c>
      <c r="B956" s="7" t="s">
        <v>994</v>
      </c>
      <c r="C956" s="7" t="s">
        <v>3</v>
      </c>
      <c r="D956" s="31">
        <v>45</v>
      </c>
    </row>
    <row r="957" spans="1:4" ht="15" x14ac:dyDescent="0.2">
      <c r="A957" s="25" t="s">
        <v>2287</v>
      </c>
      <c r="B957" s="7" t="s">
        <v>996</v>
      </c>
      <c r="C957" s="7" t="s">
        <v>6</v>
      </c>
      <c r="D957" s="31">
        <v>28</v>
      </c>
    </row>
    <row r="958" spans="1:4" ht="15" x14ac:dyDescent="0.2">
      <c r="A958" s="25" t="s">
        <v>2288</v>
      </c>
      <c r="B958" s="7" t="s">
        <v>998</v>
      </c>
      <c r="C958" s="7" t="s">
        <v>6</v>
      </c>
      <c r="D958" s="31">
        <v>40</v>
      </c>
    </row>
    <row r="959" spans="1:4" ht="15" x14ac:dyDescent="0.2">
      <c r="A959" s="25" t="s">
        <v>2289</v>
      </c>
      <c r="B959" s="7" t="s">
        <v>1000</v>
      </c>
      <c r="C959" s="7" t="s">
        <v>6</v>
      </c>
      <c r="D959" s="31">
        <v>25</v>
      </c>
    </row>
    <row r="960" spans="1:4" ht="15" x14ac:dyDescent="0.2">
      <c r="A960" s="25" t="s">
        <v>2290</v>
      </c>
      <c r="B960" s="7" t="s">
        <v>1002</v>
      </c>
      <c r="C960" s="7" t="s">
        <v>6</v>
      </c>
      <c r="D960" s="31">
        <v>28</v>
      </c>
    </row>
    <row r="961" spans="1:4" ht="15" x14ac:dyDescent="0.2">
      <c r="A961" s="25" t="s">
        <v>2291</v>
      </c>
      <c r="B961" s="7" t="s">
        <v>1004</v>
      </c>
      <c r="C961" s="7" t="s">
        <v>3</v>
      </c>
      <c r="D961" s="31">
        <v>19.5</v>
      </c>
    </row>
    <row r="962" spans="1:4" ht="15" x14ac:dyDescent="0.2">
      <c r="A962" s="25" t="s">
        <v>2292</v>
      </c>
      <c r="B962" s="7" t="s">
        <v>1006</v>
      </c>
      <c r="C962" s="7" t="s">
        <v>6</v>
      </c>
      <c r="D962" s="31">
        <v>24</v>
      </c>
    </row>
    <row r="963" spans="1:4" ht="15" x14ac:dyDescent="0.2">
      <c r="A963" s="25" t="s">
        <v>2293</v>
      </c>
      <c r="B963" s="7" t="s">
        <v>1008</v>
      </c>
      <c r="C963" s="7" t="s">
        <v>12</v>
      </c>
      <c r="D963" s="31">
        <v>30.5</v>
      </c>
    </row>
    <row r="964" spans="1:4" ht="15" x14ac:dyDescent="0.2">
      <c r="A964" s="25" t="s">
        <v>2294</v>
      </c>
      <c r="B964" s="7" t="s">
        <v>1010</v>
      </c>
      <c r="C964" s="7" t="s">
        <v>6</v>
      </c>
      <c r="D964" s="31">
        <v>3.5</v>
      </c>
    </row>
    <row r="965" spans="1:4" ht="15" x14ac:dyDescent="0.2">
      <c r="A965" s="25" t="s">
        <v>2295</v>
      </c>
      <c r="B965" s="7" t="s">
        <v>1012</v>
      </c>
      <c r="C965" s="7" t="s">
        <v>6</v>
      </c>
      <c r="D965" s="31">
        <v>3.4</v>
      </c>
    </row>
    <row r="966" spans="1:4" ht="15" x14ac:dyDescent="0.2">
      <c r="A966" s="25" t="s">
        <v>2296</v>
      </c>
      <c r="B966" s="7" t="s">
        <v>1014</v>
      </c>
      <c r="C966" s="7" t="s">
        <v>6</v>
      </c>
      <c r="D966" s="31">
        <v>6</v>
      </c>
    </row>
    <row r="967" spans="1:4" ht="15" x14ac:dyDescent="0.2">
      <c r="A967" s="25" t="s">
        <v>2297</v>
      </c>
      <c r="B967" s="7" t="s">
        <v>1016</v>
      </c>
      <c r="C967" s="7" t="s">
        <v>37</v>
      </c>
      <c r="D967" s="31">
        <v>39</v>
      </c>
    </row>
    <row r="968" spans="1:4" ht="15" x14ac:dyDescent="0.2">
      <c r="A968" s="25" t="s">
        <v>2298</v>
      </c>
      <c r="B968" s="7" t="s">
        <v>1018</v>
      </c>
      <c r="C968" s="7" t="s">
        <v>37</v>
      </c>
      <c r="D968" s="31">
        <v>39</v>
      </c>
    </row>
    <row r="969" spans="1:4" ht="15" x14ac:dyDescent="0.2">
      <c r="A969" s="25" t="s">
        <v>2299</v>
      </c>
      <c r="B969" s="7" t="s">
        <v>1020</v>
      </c>
      <c r="C969" s="7" t="s">
        <v>3</v>
      </c>
      <c r="D969" s="31">
        <v>38</v>
      </c>
    </row>
    <row r="970" spans="1:4" ht="15" x14ac:dyDescent="0.2">
      <c r="A970" s="25" t="s">
        <v>2300</v>
      </c>
      <c r="B970" s="7" t="s">
        <v>1022</v>
      </c>
      <c r="C970" s="7" t="s">
        <v>6</v>
      </c>
      <c r="D970" s="31">
        <v>38.799999999999997</v>
      </c>
    </row>
    <row r="971" spans="1:4" ht="15" x14ac:dyDescent="0.2">
      <c r="A971" s="25" t="s">
        <v>2301</v>
      </c>
      <c r="B971" s="7" t="s">
        <v>1024</v>
      </c>
      <c r="C971" s="7" t="s">
        <v>6</v>
      </c>
      <c r="D971" s="31">
        <v>3.1</v>
      </c>
    </row>
    <row r="972" spans="1:4" ht="15" x14ac:dyDescent="0.2">
      <c r="A972" s="25" t="s">
        <v>2302</v>
      </c>
      <c r="B972" s="7" t="s">
        <v>1026</v>
      </c>
      <c r="C972" s="7" t="s">
        <v>6</v>
      </c>
      <c r="D972" s="31">
        <v>30.5</v>
      </c>
    </row>
    <row r="973" spans="1:4" ht="15" x14ac:dyDescent="0.2">
      <c r="A973" s="25" t="s">
        <v>2303</v>
      </c>
      <c r="B973" s="7" t="s">
        <v>1036</v>
      </c>
      <c r="C973" s="7" t="s">
        <v>37</v>
      </c>
      <c r="D973" s="31">
        <v>53</v>
      </c>
    </row>
    <row r="974" spans="1:4" ht="15" x14ac:dyDescent="0.2">
      <c r="A974" s="25" t="s">
        <v>2304</v>
      </c>
      <c r="B974" s="7" t="s">
        <v>1028</v>
      </c>
      <c r="C974" s="7" t="s">
        <v>6</v>
      </c>
      <c r="D974" s="31">
        <v>72</v>
      </c>
    </row>
    <row r="975" spans="1:4" ht="15" x14ac:dyDescent="0.2">
      <c r="A975" s="25" t="s">
        <v>2305</v>
      </c>
      <c r="B975" s="7" t="s">
        <v>1030</v>
      </c>
      <c r="C975" s="7" t="s">
        <v>37</v>
      </c>
      <c r="D975" s="31">
        <v>58</v>
      </c>
    </row>
    <row r="976" spans="1:4" ht="15" x14ac:dyDescent="0.2">
      <c r="A976" s="25" t="s">
        <v>2306</v>
      </c>
      <c r="B976" s="7" t="s">
        <v>1032</v>
      </c>
      <c r="C976" s="7" t="s">
        <v>3</v>
      </c>
      <c r="D976" s="31">
        <v>16</v>
      </c>
    </row>
    <row r="977" spans="1:4" ht="15" x14ac:dyDescent="0.2">
      <c r="A977" s="25" t="s">
        <v>2307</v>
      </c>
      <c r="B977" s="7" t="s">
        <v>1034</v>
      </c>
      <c r="C977" s="7" t="s">
        <v>3</v>
      </c>
      <c r="D977" s="31">
        <v>13.6</v>
      </c>
    </row>
    <row r="978" spans="1:4" ht="15" x14ac:dyDescent="0.2">
      <c r="A978" s="25" t="s">
        <v>2308</v>
      </c>
      <c r="B978" s="7" t="s">
        <v>1038</v>
      </c>
      <c r="C978" s="7" t="s">
        <v>3</v>
      </c>
      <c r="D978" s="31">
        <v>61.5</v>
      </c>
    </row>
    <row r="979" spans="1:4" ht="15" x14ac:dyDescent="0.2">
      <c r="A979" s="25" t="s">
        <v>2309</v>
      </c>
      <c r="B979" s="7" t="s">
        <v>1040</v>
      </c>
      <c r="C979" s="7" t="s">
        <v>37</v>
      </c>
      <c r="D979" s="31">
        <v>45</v>
      </c>
    </row>
    <row r="980" spans="1:4" ht="15" x14ac:dyDescent="0.2">
      <c r="A980" s="25" t="s">
        <v>2310</v>
      </c>
      <c r="B980" s="7" t="s">
        <v>1042</v>
      </c>
      <c r="C980" s="7" t="s">
        <v>3</v>
      </c>
      <c r="D980" s="31">
        <v>27</v>
      </c>
    </row>
    <row r="981" spans="1:4" ht="15" x14ac:dyDescent="0.2">
      <c r="A981" s="25" t="s">
        <v>2311</v>
      </c>
      <c r="B981" s="7" t="s">
        <v>1044</v>
      </c>
      <c r="C981" s="7" t="s">
        <v>3</v>
      </c>
      <c r="D981" s="31">
        <v>9</v>
      </c>
    </row>
    <row r="982" spans="1:4" ht="15" x14ac:dyDescent="0.2">
      <c r="A982" s="25" t="s">
        <v>2312</v>
      </c>
      <c r="B982" s="7" t="s">
        <v>1046</v>
      </c>
      <c r="C982" s="7" t="s">
        <v>6</v>
      </c>
      <c r="D982" s="31">
        <v>31</v>
      </c>
    </row>
    <row r="983" spans="1:4" ht="15" x14ac:dyDescent="0.2">
      <c r="A983" s="25" t="s">
        <v>2313</v>
      </c>
      <c r="B983" s="7" t="s">
        <v>1048</v>
      </c>
      <c r="C983" s="7" t="s">
        <v>3</v>
      </c>
      <c r="D983" s="31">
        <v>35</v>
      </c>
    </row>
    <row r="984" spans="1:4" ht="15" x14ac:dyDescent="0.2">
      <c r="A984" s="25" t="s">
        <v>2314</v>
      </c>
      <c r="B984" s="7" t="s">
        <v>1050</v>
      </c>
      <c r="C984" s="7" t="s">
        <v>3</v>
      </c>
      <c r="D984" s="31">
        <v>84</v>
      </c>
    </row>
    <row r="985" spans="1:4" ht="15" x14ac:dyDescent="0.2">
      <c r="A985" s="25" t="s">
        <v>2315</v>
      </c>
      <c r="B985" s="7" t="s">
        <v>1052</v>
      </c>
      <c r="C985" s="7" t="s">
        <v>3</v>
      </c>
      <c r="D985" s="31">
        <v>50</v>
      </c>
    </row>
    <row r="986" spans="1:4" ht="15" x14ac:dyDescent="0.2">
      <c r="A986" s="25" t="s">
        <v>2316</v>
      </c>
      <c r="B986" s="7" t="s">
        <v>1054</v>
      </c>
      <c r="C986" s="7" t="s">
        <v>3</v>
      </c>
      <c r="D986" s="31">
        <v>34</v>
      </c>
    </row>
    <row r="987" spans="1:4" ht="15" x14ac:dyDescent="0.2">
      <c r="A987" s="25" t="s">
        <v>2317</v>
      </c>
      <c r="B987" s="7" t="s">
        <v>1056</v>
      </c>
      <c r="C987" s="7" t="s">
        <v>3</v>
      </c>
      <c r="D987" s="31">
        <v>63</v>
      </c>
    </row>
    <row r="988" spans="1:4" ht="15" x14ac:dyDescent="0.2">
      <c r="A988" s="25" t="s">
        <v>2318</v>
      </c>
      <c r="B988" s="7" t="s">
        <v>1058</v>
      </c>
      <c r="C988" s="7" t="s">
        <v>6</v>
      </c>
      <c r="D988" s="31">
        <v>73.400000000000006</v>
      </c>
    </row>
    <row r="989" spans="1:4" ht="15" x14ac:dyDescent="0.2">
      <c r="A989" s="25" t="s">
        <v>2319</v>
      </c>
      <c r="B989" s="7" t="s">
        <v>1060</v>
      </c>
      <c r="C989" s="7" t="s">
        <v>323</v>
      </c>
      <c r="D989" s="32">
        <v>32</v>
      </c>
    </row>
    <row r="990" spans="1:4" ht="15" x14ac:dyDescent="0.2">
      <c r="A990" s="25" t="s">
        <v>2320</v>
      </c>
      <c r="B990" s="7" t="s">
        <v>959</v>
      </c>
      <c r="C990" s="7" t="s">
        <v>6</v>
      </c>
      <c r="D990" s="9">
        <v>105</v>
      </c>
    </row>
    <row r="991" spans="1:4" ht="15" x14ac:dyDescent="0.2">
      <c r="A991" s="25" t="s">
        <v>2321</v>
      </c>
      <c r="B991" s="7" t="s">
        <v>961</v>
      </c>
      <c r="C991" s="7" t="s">
        <v>6</v>
      </c>
      <c r="D991" s="9">
        <v>9.1999999999999993</v>
      </c>
    </row>
    <row r="992" spans="1:4" ht="15" x14ac:dyDescent="0.2">
      <c r="A992" s="25" t="s">
        <v>2322</v>
      </c>
      <c r="B992" s="7" t="s">
        <v>963</v>
      </c>
      <c r="C992" s="7" t="s">
        <v>6</v>
      </c>
      <c r="D992" s="9">
        <v>7</v>
      </c>
    </row>
    <row r="993" spans="1:4" ht="15" x14ac:dyDescent="0.2">
      <c r="A993" s="25" t="s">
        <v>2323</v>
      </c>
      <c r="B993" s="7" t="s">
        <v>965</v>
      </c>
      <c r="C993" s="7" t="s">
        <v>6</v>
      </c>
      <c r="D993" s="9">
        <v>13.5</v>
      </c>
    </row>
    <row r="994" spans="1:4" ht="15" x14ac:dyDescent="0.2">
      <c r="A994" s="25" t="s">
        <v>2324</v>
      </c>
      <c r="B994" s="7" t="s">
        <v>967</v>
      </c>
      <c r="C994" s="7" t="s">
        <v>3</v>
      </c>
      <c r="D994" s="9">
        <v>3.2</v>
      </c>
    </row>
    <row r="995" spans="1:4" ht="15" x14ac:dyDescent="0.2">
      <c r="A995" s="25" t="s">
        <v>2325</v>
      </c>
      <c r="B995" s="7" t="s">
        <v>969</v>
      </c>
      <c r="C995" s="7" t="s">
        <v>3</v>
      </c>
      <c r="D995" s="9">
        <v>11</v>
      </c>
    </row>
    <row r="996" spans="1:4" ht="15" x14ac:dyDescent="0.2">
      <c r="A996" s="25" t="s">
        <v>2326</v>
      </c>
      <c r="B996" s="7" t="s">
        <v>971</v>
      </c>
      <c r="C996" s="7" t="s">
        <v>3</v>
      </c>
      <c r="D996" s="9">
        <v>72</v>
      </c>
    </row>
    <row r="997" spans="1:4" ht="15" x14ac:dyDescent="0.2">
      <c r="A997" s="25" t="s">
        <v>2327</v>
      </c>
      <c r="B997" s="7" t="s">
        <v>973</v>
      </c>
      <c r="C997" s="7" t="s">
        <v>3</v>
      </c>
      <c r="D997" s="9">
        <v>76</v>
      </c>
    </row>
    <row r="998" spans="1:4" ht="15" x14ac:dyDescent="0.2">
      <c r="A998" s="25" t="s">
        <v>2328</v>
      </c>
      <c r="B998" s="7" t="s">
        <v>975</v>
      </c>
      <c r="C998" s="7" t="s">
        <v>6</v>
      </c>
      <c r="D998" s="9">
        <v>25.7</v>
      </c>
    </row>
    <row r="999" spans="1:4" ht="15" x14ac:dyDescent="0.2">
      <c r="A999" s="25" t="s">
        <v>2329</v>
      </c>
      <c r="B999" s="7" t="s">
        <v>977</v>
      </c>
      <c r="C999" s="7" t="s">
        <v>123</v>
      </c>
      <c r="D999" s="9">
        <v>75</v>
      </c>
    </row>
    <row r="1000" spans="1:4" ht="15" x14ac:dyDescent="0.2">
      <c r="A1000" s="25" t="s">
        <v>2330</v>
      </c>
      <c r="B1000" s="7" t="s">
        <v>979</v>
      </c>
      <c r="C1000" s="7" t="s">
        <v>3</v>
      </c>
      <c r="D1000" s="9">
        <v>20</v>
      </c>
    </row>
    <row r="1001" spans="1:4" ht="15" x14ac:dyDescent="0.2">
      <c r="A1001" s="25" t="s">
        <v>2331</v>
      </c>
      <c r="B1001" s="7" t="s">
        <v>981</v>
      </c>
      <c r="C1001" s="7" t="s">
        <v>6</v>
      </c>
      <c r="D1001" s="9">
        <v>34.799999999999997</v>
      </c>
    </row>
    <row r="1002" spans="1:4" ht="15" x14ac:dyDescent="0.2">
      <c r="A1002" s="25" t="s">
        <v>2332</v>
      </c>
      <c r="B1002" s="7" t="s">
        <v>983</v>
      </c>
      <c r="C1002" s="7" t="s">
        <v>6</v>
      </c>
      <c r="D1002" s="9">
        <v>31</v>
      </c>
    </row>
    <row r="1003" spans="1:4" ht="15" x14ac:dyDescent="0.2">
      <c r="A1003" s="25" t="s">
        <v>2333</v>
      </c>
      <c r="B1003" s="7" t="s">
        <v>985</v>
      </c>
      <c r="C1003" s="7" t="s">
        <v>6</v>
      </c>
      <c r="D1003" s="9">
        <v>114</v>
      </c>
    </row>
    <row r="1004" spans="1:4" ht="15" x14ac:dyDescent="0.2">
      <c r="A1004" s="25" t="s">
        <v>2334</v>
      </c>
      <c r="B1004" s="7" t="s">
        <v>987</v>
      </c>
      <c r="C1004" s="7" t="s">
        <v>6</v>
      </c>
      <c r="D1004" s="9">
        <v>124</v>
      </c>
    </row>
    <row r="1005" spans="1:4" ht="15" x14ac:dyDescent="0.2">
      <c r="A1005" s="25" t="s">
        <v>2335</v>
      </c>
      <c r="B1005" s="7" t="s">
        <v>989</v>
      </c>
      <c r="C1005" s="7" t="s">
        <v>37</v>
      </c>
      <c r="D1005" s="9">
        <v>50.5</v>
      </c>
    </row>
    <row r="1006" spans="1:4" ht="15" x14ac:dyDescent="0.2">
      <c r="A1006" s="25" t="s">
        <v>2336</v>
      </c>
      <c r="B1006" s="7" t="s">
        <v>991</v>
      </c>
      <c r="C1006" s="7" t="s">
        <v>6</v>
      </c>
      <c r="D1006" s="9">
        <v>213</v>
      </c>
    </row>
    <row r="1007" spans="1:4" ht="15" x14ac:dyDescent="0.2">
      <c r="A1007" s="25" t="s">
        <v>2337</v>
      </c>
      <c r="B1007" s="7" t="s">
        <v>993</v>
      </c>
      <c r="C1007" s="7" t="s">
        <v>37</v>
      </c>
      <c r="D1007" s="9">
        <v>16</v>
      </c>
    </row>
    <row r="1008" spans="1:4" ht="15" x14ac:dyDescent="0.2">
      <c r="A1008" s="25" t="s">
        <v>2338</v>
      </c>
      <c r="B1008" s="7" t="s">
        <v>995</v>
      </c>
      <c r="C1008" s="7" t="s">
        <v>101</v>
      </c>
      <c r="D1008" s="9">
        <v>3.7709999999999999</v>
      </c>
    </row>
    <row r="1009" spans="1:4" ht="15" x14ac:dyDescent="0.2">
      <c r="A1009" s="25" t="s">
        <v>2339</v>
      </c>
      <c r="B1009" s="7" t="s">
        <v>997</v>
      </c>
      <c r="C1009" s="7" t="s">
        <v>6</v>
      </c>
      <c r="D1009" s="9">
        <v>260</v>
      </c>
    </row>
    <row r="1010" spans="1:4" ht="15" x14ac:dyDescent="0.2">
      <c r="A1010" s="25" t="s">
        <v>2340</v>
      </c>
      <c r="B1010" s="7" t="s">
        <v>999</v>
      </c>
      <c r="C1010" s="7" t="s">
        <v>6</v>
      </c>
      <c r="D1010" s="9">
        <v>252</v>
      </c>
    </row>
    <row r="1011" spans="1:4" ht="15" x14ac:dyDescent="0.2">
      <c r="A1011" s="25" t="s">
        <v>2341</v>
      </c>
      <c r="B1011" s="7" t="s">
        <v>1001</v>
      </c>
      <c r="C1011" s="7" t="s">
        <v>6</v>
      </c>
      <c r="D1011" s="9">
        <v>92</v>
      </c>
    </row>
    <row r="1012" spans="1:4" ht="15" x14ac:dyDescent="0.2">
      <c r="A1012" s="25" t="s">
        <v>2342</v>
      </c>
      <c r="B1012" s="7" t="s">
        <v>1003</v>
      </c>
      <c r="C1012" s="7" t="s">
        <v>6</v>
      </c>
      <c r="D1012" s="9">
        <v>13.4</v>
      </c>
    </row>
    <row r="1013" spans="1:4" ht="15" x14ac:dyDescent="0.2">
      <c r="A1013" s="25" t="s">
        <v>2343</v>
      </c>
      <c r="B1013" s="7" t="s">
        <v>1005</v>
      </c>
      <c r="C1013" s="7" t="s">
        <v>6</v>
      </c>
      <c r="D1013" s="9">
        <v>63</v>
      </c>
    </row>
    <row r="1014" spans="1:4" ht="15" x14ac:dyDescent="0.2">
      <c r="A1014" s="25" t="s">
        <v>2344</v>
      </c>
      <c r="B1014" s="7" t="s">
        <v>1007</v>
      </c>
      <c r="C1014" s="7" t="s">
        <v>6</v>
      </c>
      <c r="D1014" s="9">
        <v>32</v>
      </c>
    </row>
    <row r="1015" spans="1:4" ht="15" x14ac:dyDescent="0.2">
      <c r="A1015" s="25" t="s">
        <v>2345</v>
      </c>
      <c r="B1015" s="7" t="s">
        <v>1009</v>
      </c>
      <c r="C1015" s="7" t="s">
        <v>6</v>
      </c>
      <c r="D1015" s="9">
        <v>35</v>
      </c>
    </row>
    <row r="1016" spans="1:4" ht="15" x14ac:dyDescent="0.2">
      <c r="A1016" s="25" t="s">
        <v>2346</v>
      </c>
      <c r="B1016" s="7" t="s">
        <v>1011</v>
      </c>
      <c r="C1016" s="7" t="s">
        <v>6</v>
      </c>
      <c r="D1016" s="9">
        <v>39</v>
      </c>
    </row>
    <row r="1017" spans="1:4" ht="15" x14ac:dyDescent="0.2">
      <c r="A1017" s="25" t="s">
        <v>2347</v>
      </c>
      <c r="B1017" s="7" t="s">
        <v>1013</v>
      </c>
      <c r="C1017" s="7" t="s">
        <v>6</v>
      </c>
      <c r="D1017" s="9">
        <v>58</v>
      </c>
    </row>
    <row r="1018" spans="1:4" ht="15" x14ac:dyDescent="0.2">
      <c r="A1018" s="25" t="s">
        <v>2348</v>
      </c>
      <c r="B1018" s="7" t="s">
        <v>1015</v>
      </c>
      <c r="C1018" s="7" t="s">
        <v>6</v>
      </c>
      <c r="D1018" s="9">
        <v>13.5</v>
      </c>
    </row>
    <row r="1019" spans="1:4" ht="15" x14ac:dyDescent="0.2">
      <c r="A1019" s="25" t="s">
        <v>2349</v>
      </c>
      <c r="B1019" s="7" t="s">
        <v>1017</v>
      </c>
      <c r="C1019" s="7" t="s">
        <v>6</v>
      </c>
      <c r="D1019" s="9">
        <v>22.5</v>
      </c>
    </row>
    <row r="1020" spans="1:4" ht="15" x14ac:dyDescent="0.2">
      <c r="A1020" s="25" t="s">
        <v>2350</v>
      </c>
      <c r="B1020" s="7" t="s">
        <v>1019</v>
      </c>
      <c r="C1020" s="7" t="s">
        <v>6</v>
      </c>
      <c r="D1020" s="9">
        <v>82</v>
      </c>
    </row>
    <row r="1021" spans="1:4" ht="15" x14ac:dyDescent="0.2">
      <c r="A1021" s="25" t="s">
        <v>2351</v>
      </c>
      <c r="B1021" s="7" t="s">
        <v>1021</v>
      </c>
      <c r="C1021" s="7" t="s">
        <v>3</v>
      </c>
      <c r="D1021" s="9">
        <v>137</v>
      </c>
    </row>
    <row r="1022" spans="1:4" ht="15" x14ac:dyDescent="0.2">
      <c r="A1022" s="25" t="s">
        <v>2352</v>
      </c>
      <c r="B1022" s="7" t="s">
        <v>1023</v>
      </c>
      <c r="C1022" s="7" t="s">
        <v>6</v>
      </c>
      <c r="D1022" s="9">
        <v>36</v>
      </c>
    </row>
    <row r="1023" spans="1:4" ht="15" x14ac:dyDescent="0.2">
      <c r="A1023" s="25" t="s">
        <v>2353</v>
      </c>
      <c r="B1023" s="7" t="s">
        <v>1025</v>
      </c>
      <c r="C1023" s="7" t="s">
        <v>6</v>
      </c>
      <c r="D1023" s="9">
        <v>215</v>
      </c>
    </row>
    <row r="1024" spans="1:4" ht="15" x14ac:dyDescent="0.2">
      <c r="A1024" s="25" t="s">
        <v>2354</v>
      </c>
      <c r="B1024" s="7" t="s">
        <v>1027</v>
      </c>
      <c r="C1024" s="7" t="s">
        <v>12</v>
      </c>
      <c r="D1024" s="9">
        <v>35.5</v>
      </c>
    </row>
    <row r="1025" spans="1:4" ht="15" x14ac:dyDescent="0.2">
      <c r="A1025" s="25" t="s">
        <v>2355</v>
      </c>
      <c r="B1025" s="7" t="s">
        <v>1029</v>
      </c>
      <c r="C1025" s="7" t="s">
        <v>6</v>
      </c>
      <c r="D1025" s="9">
        <v>168</v>
      </c>
    </row>
    <row r="1026" spans="1:4" ht="15" x14ac:dyDescent="0.2">
      <c r="A1026" s="25" t="s">
        <v>2356</v>
      </c>
      <c r="B1026" s="7" t="s">
        <v>1031</v>
      </c>
      <c r="C1026" s="7" t="s">
        <v>12</v>
      </c>
      <c r="D1026" s="9">
        <v>11.4</v>
      </c>
    </row>
    <row r="1027" spans="1:4" ht="15" x14ac:dyDescent="0.2">
      <c r="A1027" s="25" t="s">
        <v>2357</v>
      </c>
      <c r="B1027" s="7" t="s">
        <v>1033</v>
      </c>
      <c r="C1027" s="7" t="s">
        <v>45</v>
      </c>
      <c r="D1027" s="9">
        <v>15</v>
      </c>
    </row>
    <row r="1028" spans="1:4" ht="15" x14ac:dyDescent="0.2">
      <c r="A1028" s="25" t="s">
        <v>2358</v>
      </c>
      <c r="B1028" s="7" t="s">
        <v>1035</v>
      </c>
      <c r="C1028" s="7" t="s">
        <v>6</v>
      </c>
      <c r="D1028" s="9">
        <v>171</v>
      </c>
    </row>
    <row r="1029" spans="1:4" ht="15" x14ac:dyDescent="0.2">
      <c r="A1029" s="25" t="s">
        <v>2359</v>
      </c>
      <c r="B1029" s="7" t="s">
        <v>1037</v>
      </c>
      <c r="C1029" s="7" t="s">
        <v>3</v>
      </c>
      <c r="D1029" s="9">
        <v>42</v>
      </c>
    </row>
    <row r="1030" spans="1:4" ht="15" x14ac:dyDescent="0.2">
      <c r="A1030" s="25" t="s">
        <v>2360</v>
      </c>
      <c r="B1030" s="7" t="s">
        <v>1039</v>
      </c>
      <c r="C1030" s="7" t="s">
        <v>3</v>
      </c>
      <c r="D1030" s="9">
        <v>35</v>
      </c>
    </row>
    <row r="1031" spans="1:4" ht="15" x14ac:dyDescent="0.2">
      <c r="A1031" s="25" t="s">
        <v>2361</v>
      </c>
      <c r="B1031" s="7" t="s">
        <v>1041</v>
      </c>
      <c r="C1031" s="7" t="s">
        <v>6</v>
      </c>
      <c r="D1031" s="9">
        <v>14</v>
      </c>
    </row>
    <row r="1032" spans="1:4" ht="15" x14ac:dyDescent="0.2">
      <c r="A1032" s="25" t="s">
        <v>2362</v>
      </c>
      <c r="B1032" s="7" t="s">
        <v>1043</v>
      </c>
      <c r="C1032" s="7" t="s">
        <v>6</v>
      </c>
      <c r="D1032" s="9">
        <v>43</v>
      </c>
    </row>
    <row r="1033" spans="1:4" ht="15" x14ac:dyDescent="0.2">
      <c r="A1033" s="25" t="s">
        <v>2363</v>
      </c>
      <c r="B1033" s="7" t="s">
        <v>1045</v>
      </c>
      <c r="C1033" s="7" t="s">
        <v>6</v>
      </c>
      <c r="D1033" s="9">
        <v>22</v>
      </c>
    </row>
    <row r="1034" spans="1:4" ht="15" x14ac:dyDescent="0.2">
      <c r="A1034" s="25" t="s">
        <v>2364</v>
      </c>
      <c r="B1034" s="7" t="s">
        <v>1047</v>
      </c>
      <c r="C1034" s="7" t="s">
        <v>3</v>
      </c>
      <c r="D1034" s="9">
        <v>80</v>
      </c>
    </row>
    <row r="1035" spans="1:4" ht="15" x14ac:dyDescent="0.2">
      <c r="A1035" s="25" t="s">
        <v>2365</v>
      </c>
      <c r="B1035" s="7" t="s">
        <v>1049</v>
      </c>
      <c r="C1035" s="7" t="s">
        <v>37</v>
      </c>
      <c r="D1035" s="9">
        <v>230</v>
      </c>
    </row>
    <row r="1036" spans="1:4" ht="15" x14ac:dyDescent="0.2">
      <c r="A1036" s="25" t="s">
        <v>2366</v>
      </c>
      <c r="B1036" s="7" t="s">
        <v>1051</v>
      </c>
      <c r="C1036" s="7" t="s">
        <v>3</v>
      </c>
      <c r="D1036" s="9">
        <v>35</v>
      </c>
    </row>
    <row r="1037" spans="1:4" ht="15" x14ac:dyDescent="0.2">
      <c r="A1037" s="25" t="s">
        <v>2367</v>
      </c>
      <c r="B1037" s="7" t="s">
        <v>1053</v>
      </c>
      <c r="C1037" s="7" t="s">
        <v>3</v>
      </c>
      <c r="D1037" s="9">
        <v>25</v>
      </c>
    </row>
    <row r="1038" spans="1:4" ht="15" x14ac:dyDescent="0.2">
      <c r="A1038" s="25" t="s">
        <v>2368</v>
      </c>
      <c r="B1038" s="7" t="s">
        <v>1055</v>
      </c>
      <c r="C1038" s="7" t="s">
        <v>3</v>
      </c>
      <c r="D1038" s="9">
        <v>25</v>
      </c>
    </row>
    <row r="1039" spans="1:4" ht="15" x14ac:dyDescent="0.2">
      <c r="A1039" s="25" t="s">
        <v>2369</v>
      </c>
      <c r="B1039" s="7" t="s">
        <v>1057</v>
      </c>
      <c r="C1039" s="7" t="s">
        <v>3</v>
      </c>
      <c r="D1039" s="9">
        <v>35</v>
      </c>
    </row>
    <row r="1040" spans="1:4" ht="15" x14ac:dyDescent="0.2">
      <c r="A1040" s="25" t="s">
        <v>2370</v>
      </c>
      <c r="B1040" s="7" t="s">
        <v>1059</v>
      </c>
      <c r="C1040" s="7" t="s">
        <v>3</v>
      </c>
      <c r="D1040" s="9">
        <v>4.5</v>
      </c>
    </row>
    <row r="1041" spans="1:4" ht="15" x14ac:dyDescent="0.2">
      <c r="A1041" s="25" t="s">
        <v>2371</v>
      </c>
      <c r="B1041" s="7" t="s">
        <v>1061</v>
      </c>
      <c r="C1041" s="7" t="s">
        <v>535</v>
      </c>
      <c r="D1041" s="15">
        <v>17.399999999999999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workbookViewId="0">
      <selection activeCell="E7" sqref="E7"/>
    </sheetView>
  </sheetViews>
  <sheetFormatPr defaultRowHeight="12.75" x14ac:dyDescent="0.2"/>
  <cols>
    <col min="1" max="1" width="9.33203125" style="26"/>
    <col min="2" max="2" width="42.6640625" style="26" customWidth="1"/>
    <col min="3" max="3" width="17.6640625" style="26" customWidth="1"/>
    <col min="4" max="4" width="17" style="26" customWidth="1"/>
    <col min="5" max="5" width="18.1640625" style="26" customWidth="1"/>
    <col min="6" max="6" width="19" style="26" customWidth="1"/>
    <col min="7" max="7" width="17.33203125" style="26" customWidth="1"/>
    <col min="8" max="8" width="17.1640625" style="26" customWidth="1"/>
    <col min="9" max="9" width="24.33203125" style="26" bestFit="1" customWidth="1"/>
    <col min="10" max="10" width="41.83203125" style="26" customWidth="1"/>
    <col min="11" max="11" width="16.1640625" style="26" bestFit="1" customWidth="1"/>
    <col min="12" max="12" width="15.33203125" style="26" bestFit="1" customWidth="1"/>
    <col min="13" max="13" width="23.5" style="26" bestFit="1" customWidth="1"/>
    <col min="14" max="14" width="13.6640625" style="26" bestFit="1" customWidth="1"/>
    <col min="15" max="15" width="25.6640625" style="26" bestFit="1" customWidth="1"/>
    <col min="16" max="16384" width="9.33203125" style="26"/>
  </cols>
  <sheetData>
    <row r="1" spans="1:15" ht="18.75" x14ac:dyDescent="0.3">
      <c r="I1" s="39" t="s">
        <v>2382</v>
      </c>
      <c r="J1" s="41">
        <f>SUM(H7:H24)</f>
        <v>9802.5</v>
      </c>
    </row>
    <row r="2" spans="1:15" ht="18.75" x14ac:dyDescent="0.3">
      <c r="I2" s="39" t="s">
        <v>2383</v>
      </c>
    </row>
    <row r="6" spans="1:15" ht="18.75" x14ac:dyDescent="0.3">
      <c r="A6" s="33" t="s">
        <v>1331</v>
      </c>
      <c r="B6" s="34" t="s">
        <v>2374</v>
      </c>
      <c r="C6" s="34" t="s">
        <v>2375</v>
      </c>
      <c r="D6" s="34" t="s">
        <v>2376</v>
      </c>
      <c r="E6" s="34" t="s">
        <v>2377</v>
      </c>
      <c r="F6" s="34" t="s">
        <v>2378</v>
      </c>
      <c r="G6" s="35" t="s">
        <v>2379</v>
      </c>
      <c r="H6" s="35" t="s">
        <v>2380</v>
      </c>
      <c r="J6" s="34" t="s">
        <v>2384</v>
      </c>
      <c r="K6" s="34" t="s">
        <v>2388</v>
      </c>
      <c r="L6" s="34" t="s">
        <v>2387</v>
      </c>
      <c r="M6" s="34" t="s">
        <v>2389</v>
      </c>
      <c r="N6" s="34" t="s">
        <v>2385</v>
      </c>
      <c r="O6" s="34" t="s">
        <v>2386</v>
      </c>
    </row>
    <row r="7" spans="1:15" ht="15" x14ac:dyDescent="0.2">
      <c r="B7" s="36" t="s">
        <v>2</v>
      </c>
      <c r="C7" s="36" t="s">
        <v>3</v>
      </c>
      <c r="D7" s="36">
        <v>5</v>
      </c>
      <c r="E7" s="37">
        <v>26.5</v>
      </c>
      <c r="F7" s="37">
        <v>27.5</v>
      </c>
      <c r="G7" s="37">
        <v>40</v>
      </c>
      <c r="H7" s="38">
        <f>E7*D7</f>
        <v>132.5</v>
      </c>
      <c r="J7" s="36" t="s">
        <v>1313</v>
      </c>
      <c r="L7" s="26">
        <v>1</v>
      </c>
      <c r="M7" s="38">
        <f>F7*K7+G7*L7</f>
        <v>40</v>
      </c>
      <c r="N7" s="26">
        <f>D7-K7-L7</f>
        <v>4</v>
      </c>
      <c r="O7" s="40">
        <f>M7-H7</f>
        <v>-92.5</v>
      </c>
    </row>
    <row r="8" spans="1:15" ht="15" x14ac:dyDescent="0.2">
      <c r="B8" s="36" t="s">
        <v>5</v>
      </c>
      <c r="C8" s="36" t="s">
        <v>6</v>
      </c>
      <c r="D8" s="36">
        <v>5</v>
      </c>
      <c r="E8" s="37">
        <v>37</v>
      </c>
      <c r="F8" s="37">
        <v>38</v>
      </c>
      <c r="G8" s="37">
        <v>60</v>
      </c>
      <c r="H8" s="38">
        <f t="shared" ref="H8:H24" si="0">E8*D8</f>
        <v>185</v>
      </c>
      <c r="J8" s="36" t="s">
        <v>1314</v>
      </c>
      <c r="K8" s="26">
        <v>5</v>
      </c>
      <c r="M8" s="38">
        <f t="shared" ref="M8:M24" si="1">F8*K8+G8*L8</f>
        <v>190</v>
      </c>
      <c r="N8" s="26">
        <f t="shared" ref="N8:N24" si="2">D8-K8-L8</f>
        <v>0</v>
      </c>
      <c r="O8" s="40">
        <f t="shared" ref="O8:O24" si="3">M8-H8</f>
        <v>5</v>
      </c>
    </row>
    <row r="9" spans="1:15" ht="15" x14ac:dyDescent="0.2">
      <c r="B9" s="36" t="s">
        <v>8</v>
      </c>
      <c r="C9" s="36" t="s">
        <v>6</v>
      </c>
      <c r="D9" s="36">
        <v>5</v>
      </c>
      <c r="E9" s="37">
        <v>13</v>
      </c>
      <c r="F9" s="37">
        <v>14</v>
      </c>
      <c r="G9" s="37">
        <v>30</v>
      </c>
      <c r="H9" s="38">
        <f t="shared" si="0"/>
        <v>65</v>
      </c>
      <c r="J9" s="36" t="s">
        <v>1315</v>
      </c>
      <c r="K9" s="26">
        <v>5</v>
      </c>
      <c r="M9" s="38">
        <f t="shared" si="1"/>
        <v>70</v>
      </c>
      <c r="N9" s="26">
        <f t="shared" si="2"/>
        <v>0</v>
      </c>
      <c r="O9" s="40">
        <f t="shared" si="3"/>
        <v>5</v>
      </c>
    </row>
    <row r="10" spans="1:15" ht="15" x14ac:dyDescent="0.2">
      <c r="B10" s="36" t="s">
        <v>10</v>
      </c>
      <c r="C10" s="36" t="s">
        <v>6</v>
      </c>
      <c r="D10" s="36">
        <v>5</v>
      </c>
      <c r="E10" s="37">
        <v>61.8</v>
      </c>
      <c r="F10" s="37">
        <v>63</v>
      </c>
      <c r="G10" s="37">
        <v>72</v>
      </c>
      <c r="H10" s="38">
        <f t="shared" si="0"/>
        <v>309</v>
      </c>
      <c r="J10" s="36" t="s">
        <v>1316</v>
      </c>
      <c r="K10" s="26">
        <v>5</v>
      </c>
      <c r="M10" s="38">
        <f t="shared" si="1"/>
        <v>315</v>
      </c>
      <c r="N10" s="26">
        <f t="shared" si="2"/>
        <v>0</v>
      </c>
      <c r="O10" s="40">
        <f t="shared" si="3"/>
        <v>6</v>
      </c>
    </row>
    <row r="11" spans="1:15" ht="15" x14ac:dyDescent="0.2">
      <c r="B11" s="36" t="s">
        <v>13</v>
      </c>
      <c r="C11" s="36" t="s">
        <v>6</v>
      </c>
      <c r="D11" s="36">
        <v>5</v>
      </c>
      <c r="E11" s="37">
        <v>25</v>
      </c>
      <c r="F11" s="37">
        <v>26</v>
      </c>
      <c r="G11" s="37">
        <v>40</v>
      </c>
      <c r="H11" s="38">
        <f t="shared" si="0"/>
        <v>125</v>
      </c>
      <c r="J11" s="36" t="s">
        <v>1317</v>
      </c>
      <c r="L11" s="26">
        <v>3</v>
      </c>
      <c r="M11" s="38">
        <f t="shared" si="1"/>
        <v>120</v>
      </c>
      <c r="N11" s="26">
        <f t="shared" si="2"/>
        <v>2</v>
      </c>
      <c r="O11" s="40">
        <f t="shared" si="3"/>
        <v>-5</v>
      </c>
    </row>
    <row r="12" spans="1:15" ht="15" x14ac:dyDescent="0.2">
      <c r="B12" s="36" t="s">
        <v>15</v>
      </c>
      <c r="C12" s="36" t="s">
        <v>3</v>
      </c>
      <c r="D12" s="36">
        <v>5</v>
      </c>
      <c r="E12" s="37">
        <v>9.5</v>
      </c>
      <c r="F12" s="37">
        <v>10</v>
      </c>
      <c r="G12" s="37">
        <v>20</v>
      </c>
      <c r="H12" s="38">
        <f t="shared" si="0"/>
        <v>47.5</v>
      </c>
      <c r="J12" s="36" t="s">
        <v>1318</v>
      </c>
      <c r="M12" s="38">
        <f t="shared" si="1"/>
        <v>0</v>
      </c>
      <c r="N12" s="26">
        <f t="shared" si="2"/>
        <v>5</v>
      </c>
      <c r="O12" s="40">
        <f t="shared" si="3"/>
        <v>-47.5</v>
      </c>
    </row>
    <row r="13" spans="1:15" ht="15" x14ac:dyDescent="0.2">
      <c r="B13" s="36" t="s">
        <v>17</v>
      </c>
      <c r="C13" s="36" t="s">
        <v>6</v>
      </c>
      <c r="D13" s="36">
        <v>5</v>
      </c>
      <c r="E13" s="37">
        <v>52</v>
      </c>
      <c r="F13" s="37">
        <v>53</v>
      </c>
      <c r="G13" s="37">
        <v>58</v>
      </c>
      <c r="H13" s="38">
        <f t="shared" si="0"/>
        <v>260</v>
      </c>
      <c r="J13" s="36" t="s">
        <v>1319</v>
      </c>
      <c r="M13" s="38">
        <f t="shared" si="1"/>
        <v>0</v>
      </c>
      <c r="N13" s="26">
        <f t="shared" si="2"/>
        <v>5</v>
      </c>
      <c r="O13" s="40">
        <f t="shared" si="3"/>
        <v>-260</v>
      </c>
    </row>
    <row r="14" spans="1:15" ht="15" x14ac:dyDescent="0.2">
      <c r="B14" s="36" t="s">
        <v>19</v>
      </c>
      <c r="C14" s="36" t="s">
        <v>6</v>
      </c>
      <c r="D14" s="36">
        <v>24</v>
      </c>
      <c r="E14" s="37">
        <v>66</v>
      </c>
      <c r="F14" s="37">
        <v>67</v>
      </c>
      <c r="G14" s="37">
        <v>80</v>
      </c>
      <c r="H14" s="38">
        <f t="shared" si="0"/>
        <v>1584</v>
      </c>
      <c r="J14" s="36" t="s">
        <v>1320</v>
      </c>
      <c r="K14" s="26">
        <v>10</v>
      </c>
      <c r="L14" s="26">
        <v>3</v>
      </c>
      <c r="M14" s="38">
        <f t="shared" si="1"/>
        <v>910</v>
      </c>
      <c r="N14" s="26">
        <f t="shared" si="2"/>
        <v>11</v>
      </c>
      <c r="O14" s="40">
        <f t="shared" si="3"/>
        <v>-674</v>
      </c>
    </row>
    <row r="15" spans="1:15" ht="15" x14ac:dyDescent="0.2">
      <c r="B15" s="36" t="s">
        <v>21</v>
      </c>
      <c r="C15" s="36" t="s">
        <v>6</v>
      </c>
      <c r="D15" s="36">
        <v>12</v>
      </c>
      <c r="E15" s="37">
        <v>92</v>
      </c>
      <c r="F15" s="37">
        <v>93</v>
      </c>
      <c r="G15" s="37">
        <v>105</v>
      </c>
      <c r="H15" s="38">
        <f t="shared" si="0"/>
        <v>1104</v>
      </c>
      <c r="J15" s="36" t="s">
        <v>1321</v>
      </c>
      <c r="K15" s="26">
        <v>10</v>
      </c>
      <c r="L15" s="26">
        <v>2</v>
      </c>
      <c r="M15" s="38">
        <f t="shared" si="1"/>
        <v>1140</v>
      </c>
      <c r="N15" s="26">
        <f t="shared" si="2"/>
        <v>0</v>
      </c>
      <c r="O15" s="40">
        <f t="shared" si="3"/>
        <v>36</v>
      </c>
    </row>
    <row r="16" spans="1:15" ht="15" x14ac:dyDescent="0.2">
      <c r="B16" s="36" t="s">
        <v>23</v>
      </c>
      <c r="C16" s="36" t="s">
        <v>6</v>
      </c>
      <c r="D16" s="36">
        <v>20</v>
      </c>
      <c r="E16" s="37">
        <v>50</v>
      </c>
      <c r="F16" s="37">
        <v>52</v>
      </c>
      <c r="G16" s="37">
        <v>77</v>
      </c>
      <c r="H16" s="38">
        <f t="shared" si="0"/>
        <v>1000</v>
      </c>
      <c r="J16" s="36" t="s">
        <v>1322</v>
      </c>
      <c r="K16" s="26">
        <v>5</v>
      </c>
      <c r="L16" s="26">
        <v>3</v>
      </c>
      <c r="M16" s="38">
        <f t="shared" si="1"/>
        <v>491</v>
      </c>
      <c r="N16" s="26">
        <f t="shared" si="2"/>
        <v>12</v>
      </c>
      <c r="O16" s="40">
        <f t="shared" si="3"/>
        <v>-509</v>
      </c>
    </row>
    <row r="17" spans="2:15" ht="15" x14ac:dyDescent="0.2">
      <c r="B17" s="36" t="s">
        <v>25</v>
      </c>
      <c r="C17" s="36" t="s">
        <v>3</v>
      </c>
      <c r="D17" s="36">
        <v>10</v>
      </c>
      <c r="E17" s="37">
        <v>38</v>
      </c>
      <c r="F17" s="37">
        <v>40</v>
      </c>
      <c r="G17" s="37">
        <v>60</v>
      </c>
      <c r="H17" s="38">
        <f t="shared" si="0"/>
        <v>380</v>
      </c>
      <c r="J17" s="36" t="s">
        <v>1323</v>
      </c>
      <c r="K17" s="26">
        <v>5</v>
      </c>
      <c r="L17" s="26">
        <v>4</v>
      </c>
      <c r="M17" s="38">
        <f t="shared" si="1"/>
        <v>440</v>
      </c>
      <c r="N17" s="26">
        <f t="shared" si="2"/>
        <v>1</v>
      </c>
      <c r="O17" s="40">
        <f t="shared" si="3"/>
        <v>60</v>
      </c>
    </row>
    <row r="18" spans="2:15" ht="15" x14ac:dyDescent="0.2">
      <c r="B18" s="36" t="s">
        <v>27</v>
      </c>
      <c r="C18" s="36" t="s">
        <v>6</v>
      </c>
      <c r="D18" s="36">
        <v>20</v>
      </c>
      <c r="E18" s="37">
        <v>33.700000000000003</v>
      </c>
      <c r="F18" s="37">
        <v>35</v>
      </c>
      <c r="G18" s="37">
        <v>50</v>
      </c>
      <c r="H18" s="38">
        <f t="shared" si="0"/>
        <v>674</v>
      </c>
      <c r="J18" s="36" t="s">
        <v>1324</v>
      </c>
      <c r="K18" s="26">
        <v>12</v>
      </c>
      <c r="L18" s="26">
        <v>2</v>
      </c>
      <c r="M18" s="38">
        <f t="shared" si="1"/>
        <v>520</v>
      </c>
      <c r="N18" s="26">
        <f t="shared" si="2"/>
        <v>6</v>
      </c>
      <c r="O18" s="40">
        <f t="shared" si="3"/>
        <v>-154</v>
      </c>
    </row>
    <row r="19" spans="2:15" ht="15" x14ac:dyDescent="0.2">
      <c r="B19" s="36" t="s">
        <v>29</v>
      </c>
      <c r="C19" s="36" t="s">
        <v>6</v>
      </c>
      <c r="D19" s="36">
        <v>20</v>
      </c>
      <c r="E19" s="37">
        <v>44</v>
      </c>
      <c r="F19" s="37">
        <v>47</v>
      </c>
      <c r="G19" s="37">
        <v>65</v>
      </c>
      <c r="H19" s="38">
        <f t="shared" si="0"/>
        <v>880</v>
      </c>
      <c r="J19" s="36" t="s">
        <v>1325</v>
      </c>
      <c r="K19" s="26">
        <v>8</v>
      </c>
      <c r="L19" s="26">
        <v>1</v>
      </c>
      <c r="M19" s="38">
        <f t="shared" si="1"/>
        <v>441</v>
      </c>
      <c r="N19" s="26">
        <f t="shared" si="2"/>
        <v>11</v>
      </c>
      <c r="O19" s="40">
        <f t="shared" si="3"/>
        <v>-439</v>
      </c>
    </row>
    <row r="20" spans="2:15" ht="15" x14ac:dyDescent="0.2">
      <c r="B20" s="36" t="s">
        <v>31</v>
      </c>
      <c r="C20" s="36" t="s">
        <v>6</v>
      </c>
      <c r="D20" s="36">
        <v>30</v>
      </c>
      <c r="E20" s="37">
        <v>54</v>
      </c>
      <c r="F20" s="37">
        <v>58</v>
      </c>
      <c r="G20" s="37">
        <v>70</v>
      </c>
      <c r="H20" s="38">
        <f t="shared" si="0"/>
        <v>1620</v>
      </c>
      <c r="J20" s="36" t="s">
        <v>1326</v>
      </c>
      <c r="K20" s="26">
        <v>20</v>
      </c>
      <c r="M20" s="38">
        <f t="shared" si="1"/>
        <v>1160</v>
      </c>
      <c r="N20" s="26">
        <f t="shared" si="2"/>
        <v>10</v>
      </c>
      <c r="O20" s="40">
        <f t="shared" si="3"/>
        <v>-460</v>
      </c>
    </row>
    <row r="21" spans="2:15" ht="15" x14ac:dyDescent="0.2">
      <c r="B21" s="36" t="s">
        <v>33</v>
      </c>
      <c r="C21" s="36" t="s">
        <v>6</v>
      </c>
      <c r="D21" s="36">
        <v>10</v>
      </c>
      <c r="E21" s="37">
        <v>57</v>
      </c>
      <c r="F21" s="37">
        <v>60</v>
      </c>
      <c r="G21" s="37">
        <v>78</v>
      </c>
      <c r="H21" s="38">
        <f t="shared" si="0"/>
        <v>570</v>
      </c>
      <c r="J21" s="36" t="s">
        <v>1327</v>
      </c>
      <c r="L21" s="26">
        <v>10</v>
      </c>
      <c r="M21" s="38">
        <f t="shared" si="1"/>
        <v>780</v>
      </c>
      <c r="N21" s="26">
        <f t="shared" si="2"/>
        <v>0</v>
      </c>
      <c r="O21" s="40">
        <f t="shared" si="3"/>
        <v>210</v>
      </c>
    </row>
    <row r="22" spans="2:15" ht="15" x14ac:dyDescent="0.2">
      <c r="B22" s="36" t="s">
        <v>35</v>
      </c>
      <c r="C22" s="36" t="s">
        <v>6</v>
      </c>
      <c r="D22" s="36">
        <v>11</v>
      </c>
      <c r="E22" s="37">
        <v>32</v>
      </c>
      <c r="F22" s="37">
        <v>35</v>
      </c>
      <c r="G22" s="37">
        <v>64</v>
      </c>
      <c r="H22" s="38">
        <f t="shared" si="0"/>
        <v>352</v>
      </c>
      <c r="J22" s="36" t="s">
        <v>1328</v>
      </c>
      <c r="M22" s="38">
        <f t="shared" si="1"/>
        <v>0</v>
      </c>
      <c r="N22" s="26">
        <f t="shared" si="2"/>
        <v>11</v>
      </c>
      <c r="O22" s="40">
        <f t="shared" si="3"/>
        <v>-352</v>
      </c>
    </row>
    <row r="23" spans="2:15" ht="15" x14ac:dyDescent="0.2">
      <c r="B23" s="36" t="s">
        <v>38</v>
      </c>
      <c r="C23" s="36" t="s">
        <v>6</v>
      </c>
      <c r="D23" s="36">
        <v>3</v>
      </c>
      <c r="E23" s="37">
        <v>31.5</v>
      </c>
      <c r="F23" s="37">
        <v>33</v>
      </c>
      <c r="G23" s="37">
        <v>54</v>
      </c>
      <c r="H23" s="38">
        <f t="shared" si="0"/>
        <v>94.5</v>
      </c>
      <c r="J23" s="36" t="s">
        <v>1329</v>
      </c>
      <c r="L23" s="26">
        <v>3</v>
      </c>
      <c r="M23" s="38">
        <f t="shared" si="1"/>
        <v>162</v>
      </c>
      <c r="N23" s="26">
        <f t="shared" si="2"/>
        <v>0</v>
      </c>
      <c r="O23" s="40">
        <f t="shared" si="3"/>
        <v>67.5</v>
      </c>
    </row>
    <row r="24" spans="2:15" ht="15" x14ac:dyDescent="0.2">
      <c r="B24" s="36" t="s">
        <v>40</v>
      </c>
      <c r="C24" s="36" t="s">
        <v>6</v>
      </c>
      <c r="D24" s="36">
        <v>5</v>
      </c>
      <c r="E24" s="37">
        <v>84</v>
      </c>
      <c r="F24" s="37">
        <v>86</v>
      </c>
      <c r="G24" s="37">
        <v>90</v>
      </c>
      <c r="H24" s="38">
        <f t="shared" si="0"/>
        <v>420</v>
      </c>
      <c r="J24" s="36" t="s">
        <v>1330</v>
      </c>
      <c r="L24" s="26">
        <v>5</v>
      </c>
      <c r="M24" s="38">
        <f t="shared" si="1"/>
        <v>450</v>
      </c>
      <c r="N24" s="26">
        <f t="shared" si="2"/>
        <v>0</v>
      </c>
      <c r="O24" s="40">
        <f t="shared" si="3"/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J4" sqref="J4"/>
    </sheetView>
  </sheetViews>
  <sheetFormatPr defaultRowHeight="12.75" x14ac:dyDescent="0.2"/>
  <cols>
    <col min="2" max="2" width="35.1640625" bestFit="1" customWidth="1"/>
    <col min="3" max="3" width="20.5" bestFit="1" customWidth="1"/>
    <col min="4" max="4" width="16.6640625" bestFit="1" customWidth="1"/>
    <col min="5" max="5" width="13.83203125" bestFit="1" customWidth="1"/>
    <col min="6" max="6" width="12.33203125" bestFit="1" customWidth="1"/>
    <col min="7" max="7" width="16.33203125" bestFit="1" customWidth="1"/>
    <col min="8" max="8" width="25.1640625" bestFit="1" customWidth="1"/>
    <col min="9" max="9" width="24.83203125" bestFit="1" customWidth="1"/>
    <col min="10" max="10" width="12.1640625" bestFit="1" customWidth="1"/>
  </cols>
  <sheetData>
    <row r="1" spans="1:10" ht="18.75" x14ac:dyDescent="0.3">
      <c r="A1" s="35" t="s">
        <v>2390</v>
      </c>
      <c r="B1" s="35" t="s">
        <v>2398</v>
      </c>
      <c r="C1" s="35" t="s">
        <v>2391</v>
      </c>
      <c r="D1" s="35" t="s">
        <v>2375</v>
      </c>
      <c r="E1" s="35" t="s">
        <v>2392</v>
      </c>
      <c r="F1" s="35" t="s">
        <v>2393</v>
      </c>
      <c r="G1" s="35" t="s">
        <v>2394</v>
      </c>
      <c r="H1" s="35" t="s">
        <v>2395</v>
      </c>
      <c r="I1" s="35" t="s">
        <v>2396</v>
      </c>
      <c r="J1" s="35" t="s">
        <v>2397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L13" sqref="L13"/>
    </sheetView>
  </sheetViews>
  <sheetFormatPr defaultRowHeight="12.75" x14ac:dyDescent="0.2"/>
  <cols>
    <col min="2" max="2" width="24" bestFit="1" customWidth="1"/>
    <col min="3" max="3" width="19.5" bestFit="1" customWidth="1"/>
    <col min="4" max="4" width="11.1640625" bestFit="1" customWidth="1"/>
    <col min="5" max="5" width="18.83203125" bestFit="1" customWidth="1"/>
  </cols>
  <sheetData>
    <row r="1" spans="1:5" ht="18.75" x14ac:dyDescent="0.2">
      <c r="A1" s="28" t="s">
        <v>1331</v>
      </c>
      <c r="B1" s="28" t="s">
        <v>2399</v>
      </c>
      <c r="C1" s="28" t="s">
        <v>2400</v>
      </c>
      <c r="D1" s="28" t="s">
        <v>2401</v>
      </c>
      <c r="E1" s="28" t="s">
        <v>2402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60"/>
  <sheetViews>
    <sheetView workbookViewId="0">
      <selection activeCell="K13" sqref="K13"/>
    </sheetView>
  </sheetViews>
  <sheetFormatPr defaultRowHeight="12.75" x14ac:dyDescent="0.2"/>
  <cols>
    <col min="1" max="1" width="10.83203125" customWidth="1"/>
    <col min="2" max="2" width="46.6640625" customWidth="1"/>
    <col min="3" max="3" width="16.6640625" bestFit="1" customWidth="1"/>
    <col min="4" max="4" width="19.33203125" customWidth="1"/>
    <col min="5" max="5" width="17.33203125" bestFit="1" customWidth="1"/>
    <col min="9" max="9" width="17.33203125" customWidth="1"/>
  </cols>
  <sheetData>
    <row r="1" spans="1:9" ht="18.75" x14ac:dyDescent="0.3">
      <c r="A1" s="34" t="s">
        <v>2410</v>
      </c>
      <c r="B1" s="34" t="s">
        <v>2374</v>
      </c>
      <c r="C1" s="34" t="s">
        <v>2375</v>
      </c>
      <c r="D1" s="34" t="s">
        <v>2378</v>
      </c>
      <c r="E1" s="34" t="s">
        <v>2379</v>
      </c>
      <c r="I1" s="34" t="s">
        <v>2425</v>
      </c>
    </row>
    <row r="2" spans="1:9" ht="15" x14ac:dyDescent="0.2">
      <c r="A2" s="26" t="s">
        <v>2424</v>
      </c>
      <c r="B2" s="8" t="s">
        <v>2</v>
      </c>
      <c r="C2" s="8" t="s">
        <v>3</v>
      </c>
      <c r="D2" s="76">
        <v>26500</v>
      </c>
      <c r="E2" s="76">
        <f>D2+15</f>
        <v>26515</v>
      </c>
      <c r="I2" s="26" t="s">
        <v>2424</v>
      </c>
    </row>
    <row r="3" spans="1:9" ht="15" x14ac:dyDescent="0.2">
      <c r="A3" s="26"/>
      <c r="B3" s="8" t="s">
        <v>5</v>
      </c>
      <c r="C3" s="8" t="s">
        <v>6</v>
      </c>
      <c r="D3" s="76">
        <v>37000</v>
      </c>
      <c r="E3" s="76">
        <f t="shared" ref="E3:E166" si="0">D3+15</f>
        <v>37015</v>
      </c>
      <c r="I3" s="53" t="s">
        <v>2427</v>
      </c>
    </row>
    <row r="4" spans="1:9" ht="15" x14ac:dyDescent="0.2">
      <c r="A4" s="26"/>
      <c r="B4" s="8" t="s">
        <v>8</v>
      </c>
      <c r="C4" s="8" t="s">
        <v>6</v>
      </c>
      <c r="D4" s="76">
        <v>13000</v>
      </c>
      <c r="E4" s="76">
        <f t="shared" si="0"/>
        <v>13015</v>
      </c>
      <c r="I4" s="53" t="s">
        <v>2428</v>
      </c>
    </row>
    <row r="5" spans="1:9" ht="15" x14ac:dyDescent="0.2">
      <c r="A5" s="26"/>
      <c r="B5" s="8" t="s">
        <v>10</v>
      </c>
      <c r="C5" s="8" t="s">
        <v>6</v>
      </c>
      <c r="D5" s="76">
        <v>61800</v>
      </c>
      <c r="E5" s="76">
        <f t="shared" si="0"/>
        <v>61815</v>
      </c>
      <c r="I5" s="53" t="s">
        <v>2429</v>
      </c>
    </row>
    <row r="6" spans="1:9" ht="15" x14ac:dyDescent="0.2">
      <c r="A6" s="26"/>
      <c r="B6" s="74"/>
      <c r="C6" s="74"/>
      <c r="D6" s="76"/>
      <c r="E6" s="76"/>
      <c r="I6" s="53" t="s">
        <v>2430</v>
      </c>
    </row>
    <row r="7" spans="1:9" ht="15" x14ac:dyDescent="0.2">
      <c r="A7" s="26"/>
      <c r="B7" s="74"/>
      <c r="C7" s="74"/>
      <c r="D7" s="76"/>
      <c r="E7" s="76"/>
      <c r="I7" s="53" t="s">
        <v>2431</v>
      </c>
    </row>
    <row r="8" spans="1:9" ht="15" x14ac:dyDescent="0.2">
      <c r="A8" s="26"/>
      <c r="B8" s="74"/>
      <c r="C8" s="74"/>
      <c r="D8" s="76"/>
      <c r="E8" s="76"/>
      <c r="I8" s="53" t="s">
        <v>2432</v>
      </c>
    </row>
    <row r="9" spans="1:9" ht="15" x14ac:dyDescent="0.2">
      <c r="A9" s="26"/>
      <c r="B9" s="74"/>
      <c r="C9" s="74"/>
      <c r="D9" s="76"/>
      <c r="E9" s="76"/>
      <c r="I9" s="53" t="s">
        <v>2433</v>
      </c>
    </row>
    <row r="10" spans="1:9" ht="15" x14ac:dyDescent="0.2">
      <c r="A10" s="26"/>
      <c r="B10" s="74"/>
      <c r="C10" s="74"/>
      <c r="D10" s="76"/>
      <c r="E10" s="76"/>
      <c r="I10" s="53" t="s">
        <v>2434</v>
      </c>
    </row>
    <row r="11" spans="1:9" ht="15" x14ac:dyDescent="0.2">
      <c r="A11" s="26"/>
      <c r="B11" s="74"/>
      <c r="C11" s="74"/>
      <c r="D11" s="76"/>
      <c r="E11" s="76"/>
      <c r="I11" s="53" t="s">
        <v>2435</v>
      </c>
    </row>
    <row r="12" spans="1:9" ht="15" x14ac:dyDescent="0.2">
      <c r="A12" s="26"/>
      <c r="B12" s="74"/>
      <c r="C12" s="74"/>
      <c r="D12" s="76"/>
      <c r="E12" s="76"/>
      <c r="I12" s="53" t="s">
        <v>2436</v>
      </c>
    </row>
    <row r="13" spans="1:9" ht="15" x14ac:dyDescent="0.2">
      <c r="A13" s="26"/>
      <c r="B13" s="74"/>
      <c r="C13" s="74"/>
      <c r="D13" s="76"/>
      <c r="E13" s="76"/>
      <c r="I13" s="53" t="s">
        <v>2437</v>
      </c>
    </row>
    <row r="14" spans="1:9" ht="15" x14ac:dyDescent="0.2">
      <c r="A14" s="26"/>
      <c r="B14" s="74"/>
      <c r="C14" s="74"/>
      <c r="D14" s="76"/>
      <c r="E14" s="76"/>
      <c r="I14" s="53" t="s">
        <v>2438</v>
      </c>
    </row>
    <row r="15" spans="1:9" ht="15" x14ac:dyDescent="0.2">
      <c r="A15" s="26"/>
      <c r="B15" s="74"/>
      <c r="C15" s="74"/>
      <c r="D15" s="76"/>
      <c r="E15" s="76"/>
      <c r="I15" s="53" t="s">
        <v>2439</v>
      </c>
    </row>
    <row r="16" spans="1:9" ht="15" x14ac:dyDescent="0.2">
      <c r="A16" s="26"/>
      <c r="B16" s="74"/>
      <c r="C16" s="74"/>
      <c r="D16" s="76"/>
      <c r="E16" s="76"/>
      <c r="I16" s="53" t="s">
        <v>2440</v>
      </c>
    </row>
    <row r="17" spans="1:9" ht="15" x14ac:dyDescent="0.2">
      <c r="A17" s="26"/>
      <c r="B17" s="74"/>
      <c r="C17" s="74"/>
      <c r="D17" s="76"/>
      <c r="E17" s="76"/>
      <c r="I17" s="53" t="s">
        <v>2441</v>
      </c>
    </row>
    <row r="18" spans="1:9" ht="15" x14ac:dyDescent="0.2">
      <c r="A18" s="26"/>
      <c r="B18" s="74"/>
      <c r="C18" s="74"/>
      <c r="D18" s="76"/>
      <c r="E18" s="76"/>
      <c r="I18" s="53" t="s">
        <v>2442</v>
      </c>
    </row>
    <row r="19" spans="1:9" ht="15" x14ac:dyDescent="0.2">
      <c r="A19" s="26"/>
      <c r="B19" s="74"/>
      <c r="C19" s="74"/>
      <c r="D19" s="76"/>
      <c r="E19" s="76"/>
      <c r="I19" s="53" t="s">
        <v>2443</v>
      </c>
    </row>
    <row r="20" spans="1:9" ht="15" x14ac:dyDescent="0.2">
      <c r="A20" s="26"/>
      <c r="B20" s="74"/>
      <c r="C20" s="74"/>
      <c r="D20" s="76"/>
      <c r="E20" s="76"/>
      <c r="I20" s="53" t="s">
        <v>2454</v>
      </c>
    </row>
    <row r="21" spans="1:9" ht="15" x14ac:dyDescent="0.2">
      <c r="A21" s="26"/>
      <c r="B21" s="74"/>
      <c r="C21" s="74"/>
      <c r="D21" s="76"/>
      <c r="E21" s="76"/>
      <c r="I21" s="53"/>
    </row>
    <row r="22" spans="1:9" ht="15" x14ac:dyDescent="0.2">
      <c r="A22" s="26"/>
      <c r="B22" s="74"/>
      <c r="C22" s="74"/>
      <c r="D22" s="76"/>
      <c r="E22" s="76"/>
      <c r="I22" s="53"/>
    </row>
    <row r="23" spans="1:9" ht="15" x14ac:dyDescent="0.2">
      <c r="A23" s="26"/>
      <c r="B23" s="74"/>
      <c r="C23" s="74"/>
      <c r="D23" s="76"/>
      <c r="E23" s="76"/>
      <c r="I23" s="53"/>
    </row>
    <row r="24" spans="1:9" ht="15" x14ac:dyDescent="0.2">
      <c r="A24" s="26"/>
      <c r="B24" s="74"/>
      <c r="C24" s="74"/>
      <c r="D24" s="76"/>
      <c r="E24" s="76"/>
      <c r="I24" s="53"/>
    </row>
    <row r="25" spans="1:9" ht="15" x14ac:dyDescent="0.2">
      <c r="A25" s="26"/>
      <c r="B25" s="74"/>
      <c r="C25" s="74"/>
      <c r="D25" s="76"/>
      <c r="E25" s="76"/>
      <c r="I25" s="53"/>
    </row>
    <row r="26" spans="1:9" ht="15" x14ac:dyDescent="0.2">
      <c r="A26" s="26"/>
      <c r="B26" s="74"/>
      <c r="C26" s="74"/>
      <c r="D26" s="76"/>
      <c r="E26" s="76"/>
      <c r="I26" s="53"/>
    </row>
    <row r="27" spans="1:9" ht="15" x14ac:dyDescent="0.2">
      <c r="A27" s="26"/>
      <c r="B27" s="74"/>
      <c r="C27" s="74"/>
      <c r="D27" s="76"/>
      <c r="E27" s="76"/>
      <c r="I27" s="53"/>
    </row>
    <row r="28" spans="1:9" ht="15" x14ac:dyDescent="0.2">
      <c r="A28" s="26"/>
      <c r="B28" s="74"/>
      <c r="C28" s="74"/>
      <c r="D28" s="76"/>
      <c r="E28" s="76"/>
      <c r="I28" s="53"/>
    </row>
    <row r="29" spans="1:9" ht="15" x14ac:dyDescent="0.2">
      <c r="A29" s="26"/>
      <c r="B29" s="74"/>
      <c r="C29" s="74"/>
      <c r="D29" s="76"/>
      <c r="E29" s="76"/>
      <c r="I29" s="53"/>
    </row>
    <row r="30" spans="1:9" ht="15" x14ac:dyDescent="0.2">
      <c r="A30" s="26"/>
      <c r="B30" s="74"/>
      <c r="C30" s="74"/>
      <c r="D30" s="76"/>
      <c r="E30" s="76"/>
      <c r="I30" s="53"/>
    </row>
    <row r="31" spans="1:9" ht="15" x14ac:dyDescent="0.2">
      <c r="A31" s="26"/>
      <c r="B31" s="74"/>
      <c r="C31" s="74"/>
      <c r="D31" s="76"/>
      <c r="E31" s="76"/>
      <c r="I31" s="53"/>
    </row>
    <row r="32" spans="1:9" ht="15" x14ac:dyDescent="0.2">
      <c r="A32" s="26"/>
      <c r="B32" s="74"/>
      <c r="C32" s="74"/>
      <c r="D32" s="76"/>
      <c r="E32" s="76"/>
      <c r="I32" s="53"/>
    </row>
    <row r="33" spans="1:9" ht="15" x14ac:dyDescent="0.2">
      <c r="A33" s="26"/>
      <c r="B33" s="74"/>
      <c r="C33" s="74"/>
      <c r="D33" s="76"/>
      <c r="E33" s="76"/>
      <c r="I33" s="53"/>
    </row>
    <row r="34" spans="1:9" ht="15" x14ac:dyDescent="0.2">
      <c r="A34" s="26"/>
      <c r="B34" s="74"/>
      <c r="C34" s="74"/>
      <c r="D34" s="76"/>
      <c r="E34" s="76"/>
      <c r="I34" s="53"/>
    </row>
    <row r="35" spans="1:9" ht="15" x14ac:dyDescent="0.2">
      <c r="A35" s="26"/>
      <c r="B35" s="74"/>
      <c r="C35" s="74"/>
      <c r="D35" s="76"/>
      <c r="E35" s="76"/>
      <c r="I35" s="53"/>
    </row>
    <row r="36" spans="1:9" ht="15" x14ac:dyDescent="0.2">
      <c r="A36" s="26"/>
      <c r="B36" s="74"/>
      <c r="C36" s="74"/>
      <c r="D36" s="76"/>
      <c r="E36" s="76"/>
      <c r="I36" s="53"/>
    </row>
    <row r="37" spans="1:9" ht="15" x14ac:dyDescent="0.2">
      <c r="A37" s="26"/>
      <c r="B37" s="74"/>
      <c r="C37" s="74"/>
      <c r="D37" s="76"/>
      <c r="E37" s="76"/>
      <c r="I37" s="53"/>
    </row>
    <row r="38" spans="1:9" ht="15" x14ac:dyDescent="0.2">
      <c r="A38" s="26"/>
      <c r="B38" s="74"/>
      <c r="C38" s="74"/>
      <c r="D38" s="76"/>
      <c r="E38" s="76"/>
      <c r="I38" s="53"/>
    </row>
    <row r="39" spans="1:9" ht="15" x14ac:dyDescent="0.2">
      <c r="A39" s="26"/>
      <c r="B39" s="74"/>
      <c r="C39" s="74"/>
      <c r="D39" s="76"/>
      <c r="E39" s="76"/>
      <c r="I39" s="53"/>
    </row>
    <row r="40" spans="1:9" ht="15" x14ac:dyDescent="0.2">
      <c r="A40" s="26"/>
      <c r="B40" s="74"/>
      <c r="C40" s="74"/>
      <c r="D40" s="76"/>
      <c r="E40" s="76"/>
      <c r="I40" s="53"/>
    </row>
    <row r="41" spans="1:9" ht="15" x14ac:dyDescent="0.2">
      <c r="A41" s="26"/>
      <c r="B41" s="74"/>
      <c r="C41" s="74"/>
      <c r="D41" s="76"/>
      <c r="E41" s="76"/>
      <c r="I41" s="53"/>
    </row>
    <row r="42" spans="1:9" ht="15" x14ac:dyDescent="0.2">
      <c r="A42" s="26"/>
      <c r="B42" s="74"/>
      <c r="C42" s="74"/>
      <c r="D42" s="76"/>
      <c r="E42" s="76"/>
      <c r="I42" s="53"/>
    </row>
    <row r="43" spans="1:9" ht="15" x14ac:dyDescent="0.2">
      <c r="A43" s="26"/>
      <c r="B43" s="74"/>
      <c r="C43" s="74"/>
      <c r="D43" s="76"/>
      <c r="E43" s="76"/>
      <c r="I43" s="53"/>
    </row>
    <row r="44" spans="1:9" ht="15" x14ac:dyDescent="0.2">
      <c r="A44" s="26"/>
      <c r="B44" s="74"/>
      <c r="C44" s="74"/>
      <c r="D44" s="76"/>
      <c r="E44" s="76"/>
      <c r="I44" s="53"/>
    </row>
    <row r="45" spans="1:9" ht="15" x14ac:dyDescent="0.2">
      <c r="A45" s="26"/>
      <c r="B45" s="74"/>
      <c r="C45" s="74"/>
      <c r="D45" s="76"/>
      <c r="E45" s="76"/>
      <c r="I45" s="53"/>
    </row>
    <row r="46" spans="1:9" ht="15" x14ac:dyDescent="0.2">
      <c r="A46" s="26"/>
      <c r="B46" s="74"/>
      <c r="C46" s="74"/>
      <c r="D46" s="76"/>
      <c r="E46" s="76"/>
      <c r="I46" s="53"/>
    </row>
    <row r="47" spans="1:9" ht="15" x14ac:dyDescent="0.2">
      <c r="A47" s="26"/>
      <c r="B47" s="74"/>
      <c r="C47" s="74"/>
      <c r="D47" s="76"/>
      <c r="E47" s="76"/>
      <c r="I47" s="53"/>
    </row>
    <row r="48" spans="1:9" ht="15" x14ac:dyDescent="0.2">
      <c r="A48" s="26"/>
      <c r="B48" s="74"/>
      <c r="C48" s="74"/>
      <c r="D48" s="76"/>
      <c r="E48" s="76"/>
      <c r="I48" s="53"/>
    </row>
    <row r="49" spans="1:9" ht="15" x14ac:dyDescent="0.2">
      <c r="A49" s="26"/>
      <c r="B49" s="74"/>
      <c r="C49" s="74"/>
      <c r="D49" s="76"/>
      <c r="E49" s="76"/>
      <c r="I49" s="53"/>
    </row>
    <row r="50" spans="1:9" ht="15" x14ac:dyDescent="0.2">
      <c r="A50" s="26"/>
      <c r="B50" s="74"/>
      <c r="C50" s="74"/>
      <c r="D50" s="76"/>
      <c r="E50" s="76"/>
      <c r="I50" s="53"/>
    </row>
    <row r="51" spans="1:9" ht="15" x14ac:dyDescent="0.2">
      <c r="A51" s="26"/>
      <c r="B51" s="74"/>
      <c r="C51" s="74"/>
      <c r="D51" s="76"/>
      <c r="E51" s="76"/>
      <c r="I51" s="53"/>
    </row>
    <row r="52" spans="1:9" ht="15" x14ac:dyDescent="0.2">
      <c r="A52" s="26"/>
      <c r="B52" s="74"/>
      <c r="C52" s="74"/>
      <c r="D52" s="76"/>
      <c r="E52" s="76"/>
      <c r="I52" s="53"/>
    </row>
    <row r="53" spans="1:9" ht="15" x14ac:dyDescent="0.2">
      <c r="A53" s="26"/>
      <c r="B53" s="74"/>
      <c r="C53" s="74"/>
      <c r="D53" s="76"/>
      <c r="E53" s="76"/>
      <c r="I53" s="53"/>
    </row>
    <row r="54" spans="1:9" ht="15" x14ac:dyDescent="0.2">
      <c r="A54" s="26"/>
      <c r="B54" s="74"/>
      <c r="C54" s="74"/>
      <c r="D54" s="76"/>
      <c r="E54" s="76"/>
      <c r="I54" s="53"/>
    </row>
    <row r="55" spans="1:9" ht="15" x14ac:dyDescent="0.2">
      <c r="A55" s="26"/>
      <c r="B55" s="74"/>
      <c r="C55" s="74"/>
      <c r="D55" s="76"/>
      <c r="E55" s="76"/>
      <c r="I55" s="53"/>
    </row>
    <row r="56" spans="1:9" ht="15" x14ac:dyDescent="0.2">
      <c r="A56" s="26"/>
      <c r="B56" s="74"/>
      <c r="C56" s="74"/>
      <c r="D56" s="76"/>
      <c r="E56" s="76"/>
      <c r="I56" s="53"/>
    </row>
    <row r="57" spans="1:9" ht="15" x14ac:dyDescent="0.2">
      <c r="A57" s="26"/>
      <c r="B57" s="74"/>
      <c r="C57" s="74"/>
      <c r="D57" s="76"/>
      <c r="E57" s="76"/>
      <c r="I57" s="53"/>
    </row>
    <row r="58" spans="1:9" ht="15" x14ac:dyDescent="0.2">
      <c r="A58" s="26"/>
      <c r="B58" s="74"/>
      <c r="C58" s="74"/>
      <c r="D58" s="76"/>
      <c r="E58" s="76"/>
      <c r="I58" s="53"/>
    </row>
    <row r="59" spans="1:9" ht="15" x14ac:dyDescent="0.2">
      <c r="A59" s="26"/>
      <c r="B59" s="74"/>
      <c r="C59" s="74"/>
      <c r="D59" s="76"/>
      <c r="E59" s="76"/>
      <c r="I59" s="53"/>
    </row>
    <row r="60" spans="1:9" ht="15" x14ac:dyDescent="0.2">
      <c r="A60" s="26"/>
      <c r="B60" s="74"/>
      <c r="C60" s="74"/>
      <c r="D60" s="76"/>
      <c r="E60" s="76"/>
      <c r="I60" s="53"/>
    </row>
    <row r="61" spans="1:9" ht="15" x14ac:dyDescent="0.2">
      <c r="A61" s="26"/>
      <c r="B61" s="74"/>
      <c r="C61" s="74"/>
      <c r="D61" s="76"/>
      <c r="E61" s="76"/>
      <c r="I61" s="53"/>
    </row>
    <row r="62" spans="1:9" ht="15" x14ac:dyDescent="0.2">
      <c r="A62" s="26"/>
      <c r="B62" s="74"/>
      <c r="C62" s="74"/>
      <c r="D62" s="76"/>
      <c r="E62" s="76"/>
      <c r="I62" s="53"/>
    </row>
    <row r="63" spans="1:9" ht="15" x14ac:dyDescent="0.2">
      <c r="A63" s="26"/>
      <c r="B63" s="74"/>
      <c r="C63" s="74"/>
      <c r="D63" s="76"/>
      <c r="E63" s="76"/>
      <c r="I63" s="53"/>
    </row>
    <row r="64" spans="1:9" ht="15" x14ac:dyDescent="0.2">
      <c r="A64" s="26"/>
      <c r="B64" s="74"/>
      <c r="C64" s="74"/>
      <c r="D64" s="76"/>
      <c r="E64" s="76"/>
      <c r="I64" s="53"/>
    </row>
    <row r="65" spans="1:9" ht="15" x14ac:dyDescent="0.2">
      <c r="A65" s="26"/>
      <c r="B65" s="74"/>
      <c r="C65" s="74"/>
      <c r="D65" s="76"/>
      <c r="E65" s="76"/>
      <c r="I65" s="53"/>
    </row>
    <row r="66" spans="1:9" ht="15" x14ac:dyDescent="0.2">
      <c r="A66" s="26"/>
      <c r="B66" s="74"/>
      <c r="C66" s="74"/>
      <c r="D66" s="76"/>
      <c r="E66" s="76"/>
      <c r="I66" s="53"/>
    </row>
    <row r="67" spans="1:9" ht="15" x14ac:dyDescent="0.2">
      <c r="A67" s="26"/>
      <c r="B67" s="74"/>
      <c r="C67" s="74"/>
      <c r="D67" s="76"/>
      <c r="E67" s="76"/>
      <c r="I67" s="53"/>
    </row>
    <row r="68" spans="1:9" ht="15" x14ac:dyDescent="0.2">
      <c r="A68" s="26"/>
      <c r="B68" s="74"/>
      <c r="C68" s="74"/>
      <c r="D68" s="76"/>
      <c r="E68" s="76"/>
      <c r="I68" s="53"/>
    </row>
    <row r="69" spans="1:9" ht="15" x14ac:dyDescent="0.2">
      <c r="A69" s="26"/>
      <c r="B69" s="74"/>
      <c r="C69" s="74"/>
      <c r="D69" s="76"/>
      <c r="E69" s="76"/>
      <c r="I69" s="53"/>
    </row>
    <row r="70" spans="1:9" ht="15" x14ac:dyDescent="0.2">
      <c r="A70" s="26"/>
      <c r="B70" s="74"/>
      <c r="C70" s="74"/>
      <c r="D70" s="76"/>
      <c r="E70" s="76"/>
      <c r="I70" s="53"/>
    </row>
    <row r="71" spans="1:9" ht="15" x14ac:dyDescent="0.2">
      <c r="A71" s="26"/>
      <c r="B71" s="74"/>
      <c r="C71" s="74"/>
      <c r="D71" s="76"/>
      <c r="E71" s="76"/>
      <c r="I71" s="53"/>
    </row>
    <row r="72" spans="1:9" ht="15" x14ac:dyDescent="0.2">
      <c r="A72" s="26"/>
      <c r="B72" s="74"/>
      <c r="C72" s="74"/>
      <c r="D72" s="76"/>
      <c r="E72" s="76"/>
      <c r="I72" s="53"/>
    </row>
    <row r="73" spans="1:9" ht="15" x14ac:dyDescent="0.2">
      <c r="A73" s="26"/>
      <c r="B73" s="74"/>
      <c r="C73" s="74"/>
      <c r="D73" s="76"/>
      <c r="E73" s="76"/>
      <c r="I73" s="53"/>
    </row>
    <row r="74" spans="1:9" ht="15" x14ac:dyDescent="0.2">
      <c r="A74" s="26"/>
      <c r="B74" s="74"/>
      <c r="C74" s="74"/>
      <c r="D74" s="76"/>
      <c r="E74" s="76"/>
      <c r="I74" s="53"/>
    </row>
    <row r="75" spans="1:9" ht="15" x14ac:dyDescent="0.2">
      <c r="A75" s="26"/>
      <c r="B75" s="74"/>
      <c r="C75" s="74"/>
      <c r="D75" s="76"/>
      <c r="E75" s="76"/>
      <c r="I75" s="53"/>
    </row>
    <row r="76" spans="1:9" ht="15" x14ac:dyDescent="0.2">
      <c r="A76" s="26"/>
      <c r="B76" s="74"/>
      <c r="C76" s="74"/>
      <c r="D76" s="76"/>
      <c r="E76" s="76"/>
      <c r="I76" s="53"/>
    </row>
    <row r="77" spans="1:9" ht="15" x14ac:dyDescent="0.2">
      <c r="A77" s="26"/>
      <c r="B77" s="74"/>
      <c r="C77" s="74"/>
      <c r="D77" s="76"/>
      <c r="E77" s="76"/>
      <c r="I77" s="53"/>
    </row>
    <row r="78" spans="1:9" ht="15" x14ac:dyDescent="0.2">
      <c r="A78" s="26"/>
      <c r="B78" s="74"/>
      <c r="C78" s="74"/>
      <c r="D78" s="76"/>
      <c r="E78" s="76"/>
      <c r="I78" s="53"/>
    </row>
    <row r="79" spans="1:9" ht="15" x14ac:dyDescent="0.2">
      <c r="A79" s="26"/>
      <c r="B79" s="74"/>
      <c r="C79" s="74"/>
      <c r="D79" s="76"/>
      <c r="E79" s="76"/>
      <c r="I79" s="53"/>
    </row>
    <row r="80" spans="1:9" ht="15" x14ac:dyDescent="0.2">
      <c r="A80" s="26"/>
      <c r="B80" s="74"/>
      <c r="C80" s="74"/>
      <c r="D80" s="76"/>
      <c r="E80" s="76"/>
      <c r="I80" s="53"/>
    </row>
    <row r="81" spans="1:9" ht="15" x14ac:dyDescent="0.2">
      <c r="A81" s="26"/>
      <c r="B81" s="74"/>
      <c r="C81" s="74"/>
      <c r="D81" s="76"/>
      <c r="E81" s="76"/>
      <c r="I81" s="53"/>
    </row>
    <row r="82" spans="1:9" ht="15" x14ac:dyDescent="0.2">
      <c r="A82" s="26"/>
      <c r="B82" s="74"/>
      <c r="C82" s="74"/>
      <c r="D82" s="76"/>
      <c r="E82" s="76"/>
      <c r="I82" s="53"/>
    </row>
    <row r="83" spans="1:9" ht="15" x14ac:dyDescent="0.2">
      <c r="A83" s="26"/>
      <c r="B83" s="74"/>
      <c r="C83" s="74"/>
      <c r="D83" s="76"/>
      <c r="E83" s="76"/>
      <c r="I83" s="53"/>
    </row>
    <row r="84" spans="1:9" ht="15" x14ac:dyDescent="0.2">
      <c r="A84" s="26"/>
      <c r="B84" s="74"/>
      <c r="C84" s="74"/>
      <c r="D84" s="76"/>
      <c r="E84" s="76"/>
      <c r="I84" s="53"/>
    </row>
    <row r="85" spans="1:9" ht="15" x14ac:dyDescent="0.2">
      <c r="A85" s="26"/>
      <c r="B85" s="74"/>
      <c r="C85" s="74"/>
      <c r="D85" s="76"/>
      <c r="E85" s="76"/>
      <c r="I85" s="53"/>
    </row>
    <row r="86" spans="1:9" ht="15" x14ac:dyDescent="0.2">
      <c r="A86" s="26"/>
      <c r="B86" s="74"/>
      <c r="C86" s="74"/>
      <c r="D86" s="76"/>
      <c r="E86" s="76"/>
      <c r="I86" s="53"/>
    </row>
    <row r="87" spans="1:9" ht="15" x14ac:dyDescent="0.2">
      <c r="A87" s="26"/>
      <c r="B87" s="74"/>
      <c r="C87" s="74"/>
      <c r="D87" s="76"/>
      <c r="E87" s="76"/>
      <c r="I87" s="53"/>
    </row>
    <row r="88" spans="1:9" ht="15" x14ac:dyDescent="0.2">
      <c r="A88" s="26"/>
      <c r="B88" s="74"/>
      <c r="C88" s="74"/>
      <c r="D88" s="76"/>
      <c r="E88" s="76"/>
      <c r="I88" s="53"/>
    </row>
    <row r="89" spans="1:9" ht="15" x14ac:dyDescent="0.2">
      <c r="A89" s="26"/>
      <c r="B89" s="74"/>
      <c r="C89" s="74"/>
      <c r="D89" s="76"/>
      <c r="E89" s="76"/>
      <c r="I89" s="53"/>
    </row>
    <row r="90" spans="1:9" ht="15" x14ac:dyDescent="0.2">
      <c r="A90" s="26"/>
      <c r="B90" s="74"/>
      <c r="C90" s="74"/>
      <c r="D90" s="76"/>
      <c r="E90" s="76"/>
      <c r="I90" s="53"/>
    </row>
    <row r="91" spans="1:9" ht="15" x14ac:dyDescent="0.2">
      <c r="A91" s="26"/>
      <c r="B91" s="74"/>
      <c r="C91" s="74"/>
      <c r="D91" s="76"/>
      <c r="E91" s="76"/>
      <c r="I91" s="53"/>
    </row>
    <row r="92" spans="1:9" ht="15" x14ac:dyDescent="0.2">
      <c r="A92" s="26"/>
      <c r="B92" s="74"/>
      <c r="C92" s="74"/>
      <c r="D92" s="76"/>
      <c r="E92" s="76"/>
      <c r="I92" s="53"/>
    </row>
    <row r="93" spans="1:9" ht="15" x14ac:dyDescent="0.2">
      <c r="A93" s="26"/>
      <c r="B93" s="74"/>
      <c r="C93" s="74"/>
      <c r="D93" s="76"/>
      <c r="E93" s="76"/>
      <c r="I93" s="53"/>
    </row>
    <row r="94" spans="1:9" ht="15" x14ac:dyDescent="0.2">
      <c r="A94" s="26"/>
      <c r="B94" s="74"/>
      <c r="C94" s="74"/>
      <c r="D94" s="76"/>
      <c r="E94" s="76"/>
      <c r="I94" s="53"/>
    </row>
    <row r="95" spans="1:9" ht="15" x14ac:dyDescent="0.2">
      <c r="A95" s="26"/>
      <c r="B95" s="74"/>
      <c r="C95" s="74"/>
      <c r="D95" s="76"/>
      <c r="E95" s="76"/>
      <c r="I95" s="53"/>
    </row>
    <row r="96" spans="1:9" ht="15" x14ac:dyDescent="0.2">
      <c r="A96" s="26"/>
      <c r="B96" s="74"/>
      <c r="C96" s="74"/>
      <c r="D96" s="76"/>
      <c r="E96" s="76"/>
      <c r="I96" s="53"/>
    </row>
    <row r="97" spans="1:9" ht="15" x14ac:dyDescent="0.2">
      <c r="A97" s="26"/>
      <c r="B97" s="74"/>
      <c r="C97" s="74"/>
      <c r="D97" s="76"/>
      <c r="E97" s="76"/>
      <c r="I97" s="53"/>
    </row>
    <row r="98" spans="1:9" ht="15" x14ac:dyDescent="0.2">
      <c r="A98" s="26"/>
      <c r="B98" s="74"/>
      <c r="C98" s="74"/>
      <c r="D98" s="76"/>
      <c r="E98" s="76"/>
      <c r="I98" s="53"/>
    </row>
    <row r="99" spans="1:9" ht="15" x14ac:dyDescent="0.2">
      <c r="A99" s="26"/>
      <c r="B99" s="74"/>
      <c r="C99" s="74"/>
      <c r="D99" s="76"/>
      <c r="E99" s="76"/>
      <c r="I99" s="53"/>
    </row>
    <row r="100" spans="1:9" ht="15" x14ac:dyDescent="0.2">
      <c r="A100" s="26"/>
      <c r="B100" s="74"/>
      <c r="C100" s="74"/>
      <c r="D100" s="76"/>
      <c r="E100" s="76"/>
      <c r="I100" s="53"/>
    </row>
    <row r="101" spans="1:9" ht="15" x14ac:dyDescent="0.2">
      <c r="A101" s="26"/>
      <c r="B101" s="74"/>
      <c r="C101" s="74"/>
      <c r="D101" s="76"/>
      <c r="E101" s="76"/>
      <c r="I101" s="53"/>
    </row>
    <row r="102" spans="1:9" ht="15" x14ac:dyDescent="0.2">
      <c r="A102" s="26"/>
      <c r="B102" s="74"/>
      <c r="C102" s="74"/>
      <c r="D102" s="76"/>
      <c r="E102" s="76"/>
      <c r="I102" s="53"/>
    </row>
    <row r="103" spans="1:9" ht="15" x14ac:dyDescent="0.2">
      <c r="A103" s="26"/>
      <c r="B103" s="74"/>
      <c r="C103" s="74"/>
      <c r="D103" s="76"/>
      <c r="E103" s="76"/>
      <c r="I103" s="53"/>
    </row>
    <row r="104" spans="1:9" ht="15" x14ac:dyDescent="0.2">
      <c r="A104" s="26"/>
      <c r="B104" s="74"/>
      <c r="C104" s="74"/>
      <c r="D104" s="76"/>
      <c r="E104" s="76"/>
      <c r="I104" s="53"/>
    </row>
    <row r="105" spans="1:9" ht="15" x14ac:dyDescent="0.2">
      <c r="A105" s="26"/>
      <c r="B105" s="74"/>
      <c r="C105" s="74"/>
      <c r="D105" s="76"/>
      <c r="E105" s="76"/>
      <c r="I105" s="53"/>
    </row>
    <row r="106" spans="1:9" ht="15" x14ac:dyDescent="0.2">
      <c r="A106" s="26"/>
      <c r="B106" s="8"/>
      <c r="C106" s="8"/>
      <c r="D106" s="76"/>
      <c r="E106" s="76"/>
    </row>
    <row r="107" spans="1:9" ht="15" x14ac:dyDescent="0.2">
      <c r="A107" s="53" t="s">
        <v>2427</v>
      </c>
      <c r="B107" s="8" t="s">
        <v>13</v>
      </c>
      <c r="C107" s="8" t="s">
        <v>6</v>
      </c>
      <c r="D107" s="76">
        <v>25000</v>
      </c>
      <c r="E107" s="76">
        <f t="shared" si="0"/>
        <v>25015</v>
      </c>
    </row>
    <row r="108" spans="1:9" ht="15" x14ac:dyDescent="0.2">
      <c r="A108" s="26"/>
      <c r="B108" s="8" t="s">
        <v>15</v>
      </c>
      <c r="C108" s="8" t="s">
        <v>3</v>
      </c>
      <c r="D108" s="76">
        <v>9500</v>
      </c>
      <c r="E108" s="76">
        <f t="shared" si="0"/>
        <v>9515</v>
      </c>
    </row>
    <row r="109" spans="1:9" ht="15" x14ac:dyDescent="0.2">
      <c r="A109" s="26"/>
      <c r="B109" s="8" t="s">
        <v>17</v>
      </c>
      <c r="C109" s="8" t="s">
        <v>6</v>
      </c>
      <c r="D109" s="76">
        <v>52000</v>
      </c>
      <c r="E109" s="76">
        <f t="shared" si="0"/>
        <v>52015</v>
      </c>
    </row>
    <row r="110" spans="1:9" ht="15" x14ac:dyDescent="0.2">
      <c r="A110" s="26"/>
      <c r="B110" s="50" t="s">
        <v>1320</v>
      </c>
      <c r="C110" s="8" t="s">
        <v>6</v>
      </c>
      <c r="D110" s="76">
        <v>66000</v>
      </c>
      <c r="E110" s="76">
        <f t="shared" si="0"/>
        <v>66015</v>
      </c>
    </row>
    <row r="111" spans="1:9" ht="15" x14ac:dyDescent="0.2">
      <c r="A111" s="26"/>
      <c r="B111" s="8" t="s">
        <v>21</v>
      </c>
      <c r="C111" s="8" t="s">
        <v>6</v>
      </c>
      <c r="D111" s="76">
        <v>92000</v>
      </c>
      <c r="E111" s="76">
        <f t="shared" si="0"/>
        <v>92015</v>
      </c>
    </row>
    <row r="112" spans="1:9" ht="15" x14ac:dyDescent="0.2">
      <c r="A112" s="26"/>
      <c r="B112" s="8" t="s">
        <v>23</v>
      </c>
      <c r="C112" s="8" t="s">
        <v>6</v>
      </c>
      <c r="D112" s="76">
        <v>50000</v>
      </c>
      <c r="E112" s="76">
        <f t="shared" si="0"/>
        <v>50015</v>
      </c>
    </row>
    <row r="113" spans="1:5" ht="15" x14ac:dyDescent="0.2">
      <c r="A113" s="26"/>
      <c r="B113" s="8" t="s">
        <v>25</v>
      </c>
      <c r="C113" s="8" t="s">
        <v>3</v>
      </c>
      <c r="D113" s="76">
        <v>38000</v>
      </c>
      <c r="E113" s="76">
        <f t="shared" si="0"/>
        <v>38015</v>
      </c>
    </row>
    <row r="114" spans="1:5" ht="15" x14ac:dyDescent="0.2">
      <c r="A114" s="26"/>
      <c r="B114" s="8" t="s">
        <v>27</v>
      </c>
      <c r="C114" s="8" t="s">
        <v>6</v>
      </c>
      <c r="D114" s="76">
        <v>33700</v>
      </c>
      <c r="E114" s="76">
        <f t="shared" si="0"/>
        <v>33715</v>
      </c>
    </row>
    <row r="115" spans="1:5" ht="15" x14ac:dyDescent="0.2">
      <c r="A115" s="26"/>
      <c r="B115" s="8" t="s">
        <v>29</v>
      </c>
      <c r="C115" s="8" t="s">
        <v>6</v>
      </c>
      <c r="D115" s="76">
        <v>44000</v>
      </c>
      <c r="E115" s="76">
        <f t="shared" si="0"/>
        <v>44015</v>
      </c>
    </row>
    <row r="116" spans="1:5" ht="15" x14ac:dyDescent="0.2">
      <c r="A116" s="26"/>
      <c r="B116" s="8" t="s">
        <v>31</v>
      </c>
      <c r="C116" s="8" t="s">
        <v>6</v>
      </c>
      <c r="D116" s="76">
        <v>54000</v>
      </c>
      <c r="E116" s="76">
        <f t="shared" si="0"/>
        <v>54015</v>
      </c>
    </row>
    <row r="117" spans="1:5" ht="15" x14ac:dyDescent="0.2">
      <c r="A117" s="26"/>
      <c r="B117" s="8" t="s">
        <v>33</v>
      </c>
      <c r="C117" s="8" t="s">
        <v>6</v>
      </c>
      <c r="D117" s="76">
        <v>57000</v>
      </c>
      <c r="E117" s="76">
        <f t="shared" si="0"/>
        <v>57015</v>
      </c>
    </row>
    <row r="118" spans="1:5" ht="15" x14ac:dyDescent="0.2">
      <c r="A118" s="26"/>
      <c r="B118" s="8" t="s">
        <v>35</v>
      </c>
      <c r="C118" s="8" t="s">
        <v>6</v>
      </c>
      <c r="D118" s="76">
        <v>32000</v>
      </c>
      <c r="E118" s="76">
        <f t="shared" si="0"/>
        <v>32015</v>
      </c>
    </row>
    <row r="119" spans="1:5" ht="15" x14ac:dyDescent="0.2">
      <c r="A119" s="26"/>
      <c r="B119" s="8" t="s">
        <v>38</v>
      </c>
      <c r="C119" s="8" t="s">
        <v>6</v>
      </c>
      <c r="D119" s="76">
        <v>31500</v>
      </c>
      <c r="E119" s="76">
        <f t="shared" si="0"/>
        <v>31515</v>
      </c>
    </row>
    <row r="120" spans="1:5" ht="15" x14ac:dyDescent="0.2">
      <c r="A120" s="26"/>
      <c r="B120" s="8" t="s">
        <v>40</v>
      </c>
      <c r="C120" s="8" t="s">
        <v>6</v>
      </c>
      <c r="D120" s="76">
        <v>84000</v>
      </c>
      <c r="E120" s="76">
        <f t="shared" si="0"/>
        <v>84015</v>
      </c>
    </row>
    <row r="121" spans="1:5" ht="15" x14ac:dyDescent="0.2">
      <c r="B121" s="8" t="s">
        <v>42</v>
      </c>
      <c r="C121" s="8" t="s">
        <v>6</v>
      </c>
      <c r="D121" s="76">
        <v>133000</v>
      </c>
      <c r="E121" s="76">
        <f t="shared" si="0"/>
        <v>133015</v>
      </c>
    </row>
    <row r="122" spans="1:5" ht="15" x14ac:dyDescent="0.2">
      <c r="B122" s="8" t="s">
        <v>44</v>
      </c>
      <c r="C122" s="8" t="s">
        <v>45</v>
      </c>
      <c r="D122" s="76">
        <v>16000</v>
      </c>
      <c r="E122" s="76">
        <f t="shared" si="0"/>
        <v>16015</v>
      </c>
    </row>
    <row r="123" spans="1:5" ht="15" x14ac:dyDescent="0.2">
      <c r="B123" s="8" t="s">
        <v>47</v>
      </c>
      <c r="C123" s="8" t="s">
        <v>6</v>
      </c>
      <c r="D123" s="76">
        <v>19000</v>
      </c>
      <c r="E123" s="76">
        <f t="shared" si="0"/>
        <v>19015</v>
      </c>
    </row>
    <row r="124" spans="1:5" ht="15" x14ac:dyDescent="0.2">
      <c r="B124" s="8" t="s">
        <v>49</v>
      </c>
      <c r="C124" s="8" t="s">
        <v>6</v>
      </c>
      <c r="D124" s="76">
        <v>29000</v>
      </c>
      <c r="E124" s="76">
        <f t="shared" si="0"/>
        <v>29015</v>
      </c>
    </row>
    <row r="125" spans="1:5" ht="15" x14ac:dyDescent="0.2">
      <c r="B125" s="8" t="s">
        <v>51</v>
      </c>
      <c r="C125" s="8" t="s">
        <v>6</v>
      </c>
      <c r="D125" s="76">
        <v>70000</v>
      </c>
      <c r="E125" s="76">
        <f t="shared" si="0"/>
        <v>70015</v>
      </c>
    </row>
    <row r="126" spans="1:5" ht="15" x14ac:dyDescent="0.2">
      <c r="B126" s="8" t="s">
        <v>53</v>
      </c>
      <c r="C126" s="8" t="s">
        <v>3</v>
      </c>
      <c r="D126" s="76">
        <v>43000</v>
      </c>
      <c r="E126" s="76">
        <f t="shared" si="0"/>
        <v>43015</v>
      </c>
    </row>
    <row r="127" spans="1:5" ht="15" x14ac:dyDescent="0.2">
      <c r="B127" s="8" t="s">
        <v>55</v>
      </c>
      <c r="C127" s="8" t="s">
        <v>6</v>
      </c>
      <c r="D127" s="76">
        <v>35000</v>
      </c>
      <c r="E127" s="76">
        <f t="shared" si="0"/>
        <v>35015</v>
      </c>
    </row>
    <row r="128" spans="1:5" ht="15" x14ac:dyDescent="0.2">
      <c r="B128" s="8" t="s">
        <v>57</v>
      </c>
      <c r="C128" s="8" t="s">
        <v>3</v>
      </c>
      <c r="D128" s="76">
        <v>21500</v>
      </c>
      <c r="E128" s="76">
        <f t="shared" si="0"/>
        <v>21515</v>
      </c>
    </row>
    <row r="129" spans="2:5" ht="15" x14ac:dyDescent="0.2">
      <c r="B129" s="8" t="s">
        <v>59</v>
      </c>
      <c r="C129" s="8" t="s">
        <v>6</v>
      </c>
      <c r="D129" s="76">
        <v>20300</v>
      </c>
      <c r="E129" s="76">
        <f t="shared" si="0"/>
        <v>20315</v>
      </c>
    </row>
    <row r="130" spans="2:5" ht="15" x14ac:dyDescent="0.2">
      <c r="B130" s="8" t="s">
        <v>61</v>
      </c>
      <c r="C130" s="8" t="s">
        <v>6</v>
      </c>
      <c r="D130" s="76">
        <v>19000</v>
      </c>
      <c r="E130" s="76">
        <f t="shared" si="0"/>
        <v>19015</v>
      </c>
    </row>
    <row r="131" spans="2:5" ht="15" x14ac:dyDescent="0.2">
      <c r="B131" s="8" t="s">
        <v>63</v>
      </c>
      <c r="C131" s="8" t="s">
        <v>3</v>
      </c>
      <c r="D131" s="76">
        <v>95000</v>
      </c>
      <c r="E131" s="76">
        <f t="shared" si="0"/>
        <v>95015</v>
      </c>
    </row>
    <row r="132" spans="2:5" ht="15" x14ac:dyDescent="0.2">
      <c r="B132" s="8" t="s">
        <v>65</v>
      </c>
      <c r="C132" s="8" t="s">
        <v>6</v>
      </c>
      <c r="D132" s="76">
        <v>66000</v>
      </c>
      <c r="E132" s="76">
        <f t="shared" si="0"/>
        <v>66015</v>
      </c>
    </row>
    <row r="133" spans="2:5" ht="15" x14ac:dyDescent="0.2">
      <c r="B133" s="8" t="s">
        <v>67</v>
      </c>
      <c r="C133" s="8" t="s">
        <v>6</v>
      </c>
      <c r="D133" s="76">
        <v>63000</v>
      </c>
      <c r="E133" s="76">
        <f t="shared" si="0"/>
        <v>63015</v>
      </c>
    </row>
    <row r="134" spans="2:5" ht="15" x14ac:dyDescent="0.2">
      <c r="B134" s="8" t="s">
        <v>69</v>
      </c>
      <c r="C134" s="8" t="s">
        <v>6</v>
      </c>
      <c r="D134" s="76">
        <v>15000</v>
      </c>
      <c r="E134" s="76">
        <f t="shared" si="0"/>
        <v>15015</v>
      </c>
    </row>
    <row r="135" spans="2:5" ht="15" x14ac:dyDescent="0.2">
      <c r="B135" s="8" t="s">
        <v>71</v>
      </c>
      <c r="C135" s="8" t="s">
        <v>6</v>
      </c>
      <c r="D135" s="76">
        <v>28000</v>
      </c>
      <c r="E135" s="76">
        <f t="shared" si="0"/>
        <v>28015</v>
      </c>
    </row>
    <row r="136" spans="2:5" ht="15" x14ac:dyDescent="0.2">
      <c r="B136" s="8" t="s">
        <v>73</v>
      </c>
      <c r="C136" s="8" t="s">
        <v>3</v>
      </c>
      <c r="D136" s="76">
        <v>14600</v>
      </c>
      <c r="E136" s="76">
        <f t="shared" si="0"/>
        <v>14615</v>
      </c>
    </row>
    <row r="137" spans="2:5" ht="15" x14ac:dyDescent="0.2">
      <c r="B137" s="8" t="s">
        <v>75</v>
      </c>
      <c r="C137" s="8" t="s">
        <v>3</v>
      </c>
      <c r="D137" s="76">
        <v>13000</v>
      </c>
      <c r="E137" s="76">
        <f t="shared" si="0"/>
        <v>13015</v>
      </c>
    </row>
    <row r="138" spans="2:5" ht="15" x14ac:dyDescent="0.2">
      <c r="B138" s="8" t="s">
        <v>77</v>
      </c>
      <c r="C138" s="8" t="s">
        <v>6</v>
      </c>
      <c r="D138" s="76">
        <v>30000</v>
      </c>
      <c r="E138" s="76">
        <f t="shared" si="0"/>
        <v>30015</v>
      </c>
    </row>
    <row r="139" spans="2:5" ht="15" x14ac:dyDescent="0.2">
      <c r="B139" s="8" t="s">
        <v>79</v>
      </c>
      <c r="C139" s="8" t="s">
        <v>6</v>
      </c>
      <c r="D139" s="76">
        <v>43000</v>
      </c>
      <c r="E139" s="76">
        <f t="shared" si="0"/>
        <v>43015</v>
      </c>
    </row>
    <row r="140" spans="2:5" ht="15" x14ac:dyDescent="0.2">
      <c r="B140" s="8" t="s">
        <v>81</v>
      </c>
      <c r="C140" s="8" t="s">
        <v>6</v>
      </c>
      <c r="D140" s="76">
        <v>16000</v>
      </c>
      <c r="E140" s="76">
        <f t="shared" si="0"/>
        <v>16015</v>
      </c>
    </row>
    <row r="141" spans="2:5" ht="15" x14ac:dyDescent="0.2">
      <c r="B141" s="8" t="s">
        <v>83</v>
      </c>
      <c r="C141" s="8" t="s">
        <v>6</v>
      </c>
      <c r="D141" s="76">
        <v>11000</v>
      </c>
      <c r="E141" s="76">
        <f t="shared" si="0"/>
        <v>11015</v>
      </c>
    </row>
    <row r="142" spans="2:5" ht="15" x14ac:dyDescent="0.2">
      <c r="B142" s="8" t="s">
        <v>85</v>
      </c>
      <c r="C142" s="8" t="s">
        <v>6</v>
      </c>
      <c r="D142" s="76">
        <v>20000</v>
      </c>
      <c r="E142" s="76">
        <f t="shared" si="0"/>
        <v>20015</v>
      </c>
    </row>
    <row r="143" spans="2:5" ht="15" x14ac:dyDescent="0.2">
      <c r="B143" s="8" t="s">
        <v>87</v>
      </c>
      <c r="C143" s="8" t="s">
        <v>6</v>
      </c>
      <c r="D143" s="76">
        <v>12000</v>
      </c>
      <c r="E143" s="76">
        <f t="shared" si="0"/>
        <v>12015</v>
      </c>
    </row>
    <row r="144" spans="2:5" ht="15" x14ac:dyDescent="0.2">
      <c r="B144" s="8" t="s">
        <v>89</v>
      </c>
      <c r="C144" s="8" t="s">
        <v>6</v>
      </c>
      <c r="D144" s="76">
        <v>22000</v>
      </c>
      <c r="E144" s="76">
        <f t="shared" si="0"/>
        <v>22015</v>
      </c>
    </row>
    <row r="145" spans="2:5" ht="15" x14ac:dyDescent="0.2">
      <c r="B145" s="8" t="s">
        <v>91</v>
      </c>
      <c r="C145" s="8" t="s">
        <v>6</v>
      </c>
      <c r="D145" s="76">
        <v>30500</v>
      </c>
      <c r="E145" s="76">
        <f t="shared" si="0"/>
        <v>30515</v>
      </c>
    </row>
    <row r="146" spans="2:5" ht="15" x14ac:dyDescent="0.2">
      <c r="B146" s="8" t="s">
        <v>93</v>
      </c>
      <c r="C146" s="8" t="s">
        <v>6</v>
      </c>
      <c r="D146" s="76">
        <v>38000</v>
      </c>
      <c r="E146" s="76">
        <f t="shared" si="0"/>
        <v>38015</v>
      </c>
    </row>
    <row r="147" spans="2:5" ht="15" x14ac:dyDescent="0.2">
      <c r="B147" s="8" t="s">
        <v>95</v>
      </c>
      <c r="C147" s="8" t="s">
        <v>3</v>
      </c>
      <c r="D147" s="76">
        <v>50000</v>
      </c>
      <c r="E147" s="76">
        <f t="shared" si="0"/>
        <v>50015</v>
      </c>
    </row>
    <row r="148" spans="2:5" ht="15" x14ac:dyDescent="0.2">
      <c r="B148" s="8" t="s">
        <v>97</v>
      </c>
      <c r="C148" s="8" t="s">
        <v>6</v>
      </c>
      <c r="D148" s="76">
        <v>79000</v>
      </c>
      <c r="E148" s="76">
        <f t="shared" si="0"/>
        <v>79015</v>
      </c>
    </row>
    <row r="149" spans="2:5" ht="15" x14ac:dyDescent="0.2">
      <c r="B149" s="8" t="s">
        <v>99</v>
      </c>
      <c r="C149" s="8" t="s">
        <v>3</v>
      </c>
      <c r="D149" s="76">
        <v>130000</v>
      </c>
      <c r="E149" s="76">
        <f t="shared" si="0"/>
        <v>130015</v>
      </c>
    </row>
    <row r="150" spans="2:5" ht="15" x14ac:dyDescent="0.2">
      <c r="B150" s="8" t="s">
        <v>102</v>
      </c>
      <c r="C150" s="8" t="s">
        <v>6</v>
      </c>
      <c r="D150" s="76">
        <v>68000</v>
      </c>
      <c r="E150" s="76">
        <f t="shared" si="0"/>
        <v>68015</v>
      </c>
    </row>
    <row r="151" spans="2:5" ht="15" x14ac:dyDescent="0.2">
      <c r="B151" s="8" t="s">
        <v>104</v>
      </c>
      <c r="C151" s="8" t="s">
        <v>6</v>
      </c>
      <c r="D151" s="76">
        <v>37000</v>
      </c>
      <c r="E151" s="76">
        <f t="shared" si="0"/>
        <v>37015</v>
      </c>
    </row>
    <row r="152" spans="2:5" ht="15" x14ac:dyDescent="0.2">
      <c r="B152" s="8" t="s">
        <v>106</v>
      </c>
      <c r="C152" s="8" t="s">
        <v>6</v>
      </c>
      <c r="D152" s="76">
        <v>53000</v>
      </c>
      <c r="E152" s="76">
        <f t="shared" si="0"/>
        <v>53015</v>
      </c>
    </row>
    <row r="153" spans="2:5" ht="15" x14ac:dyDescent="0.2">
      <c r="B153" s="8" t="s">
        <v>108</v>
      </c>
      <c r="C153" s="8" t="s">
        <v>6</v>
      </c>
      <c r="D153" s="76">
        <v>82000</v>
      </c>
      <c r="E153" s="76">
        <f t="shared" si="0"/>
        <v>82015</v>
      </c>
    </row>
    <row r="154" spans="2:5" ht="15" x14ac:dyDescent="0.2">
      <c r="B154" s="8" t="s">
        <v>110</v>
      </c>
      <c r="C154" s="8" t="s">
        <v>111</v>
      </c>
      <c r="D154" s="77">
        <v>36000</v>
      </c>
      <c r="E154" s="76">
        <f t="shared" si="0"/>
        <v>36015</v>
      </c>
    </row>
    <row r="155" spans="2:5" ht="15" x14ac:dyDescent="0.2">
      <c r="B155" s="8" t="s">
        <v>4</v>
      </c>
      <c r="C155" s="8" t="s">
        <v>3</v>
      </c>
      <c r="D155" s="78">
        <v>121000</v>
      </c>
      <c r="E155" s="76">
        <f t="shared" si="0"/>
        <v>121015</v>
      </c>
    </row>
    <row r="156" spans="2:5" ht="15" x14ac:dyDescent="0.2">
      <c r="B156" s="8" t="s">
        <v>7</v>
      </c>
      <c r="C156" s="8" t="s">
        <v>6</v>
      </c>
      <c r="D156" s="78">
        <v>142000</v>
      </c>
      <c r="E156" s="76">
        <f t="shared" si="0"/>
        <v>142015</v>
      </c>
    </row>
    <row r="157" spans="2:5" ht="15" x14ac:dyDescent="0.2">
      <c r="B157" s="8" t="s">
        <v>9</v>
      </c>
      <c r="C157" s="8" t="s">
        <v>6</v>
      </c>
      <c r="D157" s="78">
        <v>157000</v>
      </c>
      <c r="E157" s="76">
        <f t="shared" si="0"/>
        <v>157015</v>
      </c>
    </row>
    <row r="158" spans="2:5" ht="15" x14ac:dyDescent="0.2">
      <c r="B158" s="8" t="s">
        <v>11</v>
      </c>
      <c r="C158" s="8" t="s">
        <v>12</v>
      </c>
      <c r="D158" s="78">
        <v>76000</v>
      </c>
      <c r="E158" s="76">
        <f t="shared" si="0"/>
        <v>76015</v>
      </c>
    </row>
    <row r="159" spans="2:5" ht="15" x14ac:dyDescent="0.2">
      <c r="B159" s="8" t="s">
        <v>14</v>
      </c>
      <c r="C159" s="8" t="s">
        <v>3</v>
      </c>
      <c r="D159" s="78">
        <v>33000</v>
      </c>
      <c r="E159" s="76">
        <f t="shared" si="0"/>
        <v>33015</v>
      </c>
    </row>
    <row r="160" spans="2:5" ht="15" x14ac:dyDescent="0.2">
      <c r="B160" s="8" t="s">
        <v>16</v>
      </c>
      <c r="C160" s="8" t="s">
        <v>3</v>
      </c>
      <c r="D160" s="78">
        <v>19000</v>
      </c>
      <c r="E160" s="76">
        <f t="shared" si="0"/>
        <v>19015</v>
      </c>
    </row>
    <row r="161" spans="2:5" ht="15" x14ac:dyDescent="0.2">
      <c r="B161" s="8" t="s">
        <v>18</v>
      </c>
      <c r="C161" s="8" t="s">
        <v>6</v>
      </c>
      <c r="D161" s="78">
        <v>40000</v>
      </c>
      <c r="E161" s="76">
        <f t="shared" si="0"/>
        <v>40015</v>
      </c>
    </row>
    <row r="162" spans="2:5" ht="15" x14ac:dyDescent="0.2">
      <c r="B162" s="8" t="s">
        <v>20</v>
      </c>
      <c r="C162" s="8" t="s">
        <v>6</v>
      </c>
      <c r="D162" s="78">
        <v>337000</v>
      </c>
      <c r="E162" s="76">
        <f t="shared" si="0"/>
        <v>337015</v>
      </c>
    </row>
    <row r="163" spans="2:5" ht="15" x14ac:dyDescent="0.2">
      <c r="B163" s="8" t="s">
        <v>22</v>
      </c>
      <c r="C163" s="8" t="s">
        <v>6</v>
      </c>
      <c r="D163" s="78">
        <v>13000</v>
      </c>
      <c r="E163" s="76">
        <f t="shared" si="0"/>
        <v>13015</v>
      </c>
    </row>
    <row r="164" spans="2:5" ht="15" x14ac:dyDescent="0.2">
      <c r="B164" s="8" t="s">
        <v>24</v>
      </c>
      <c r="C164" s="8" t="s">
        <v>6</v>
      </c>
      <c r="D164" s="78">
        <v>85000</v>
      </c>
      <c r="E164" s="76">
        <f t="shared" si="0"/>
        <v>85015</v>
      </c>
    </row>
    <row r="165" spans="2:5" ht="15" x14ac:dyDescent="0.2">
      <c r="B165" s="8" t="s">
        <v>26</v>
      </c>
      <c r="C165" s="8" t="s">
        <v>6</v>
      </c>
      <c r="D165" s="78">
        <v>21000</v>
      </c>
      <c r="E165" s="76">
        <f t="shared" si="0"/>
        <v>21015</v>
      </c>
    </row>
    <row r="166" spans="2:5" ht="15" x14ac:dyDescent="0.2">
      <c r="B166" s="8" t="s">
        <v>28</v>
      </c>
      <c r="C166" s="8" t="s">
        <v>3</v>
      </c>
      <c r="D166" s="78">
        <v>40000</v>
      </c>
      <c r="E166" s="76">
        <f t="shared" si="0"/>
        <v>40015</v>
      </c>
    </row>
    <row r="167" spans="2:5" ht="15" x14ac:dyDescent="0.2">
      <c r="B167" s="8" t="s">
        <v>30</v>
      </c>
      <c r="C167" s="8" t="s">
        <v>6</v>
      </c>
      <c r="D167" s="78">
        <v>35000</v>
      </c>
      <c r="E167" s="76">
        <f t="shared" ref="E167:E330" si="1">D167+15</f>
        <v>35015</v>
      </c>
    </row>
    <row r="168" spans="2:5" ht="15" x14ac:dyDescent="0.2">
      <c r="B168" s="8" t="s">
        <v>32</v>
      </c>
      <c r="C168" s="8" t="s">
        <v>3</v>
      </c>
      <c r="D168" s="78">
        <v>14000</v>
      </c>
      <c r="E168" s="76">
        <f t="shared" si="1"/>
        <v>14015</v>
      </c>
    </row>
    <row r="169" spans="2:5" ht="15" x14ac:dyDescent="0.2">
      <c r="B169" s="8" t="s">
        <v>34</v>
      </c>
      <c r="C169" s="8" t="s">
        <v>3</v>
      </c>
      <c r="D169" s="78">
        <v>13600</v>
      </c>
      <c r="E169" s="76">
        <f t="shared" si="1"/>
        <v>13615</v>
      </c>
    </row>
    <row r="170" spans="2:5" ht="15" x14ac:dyDescent="0.2">
      <c r="B170" s="8" t="s">
        <v>36</v>
      </c>
      <c r="C170" s="8" t="s">
        <v>37</v>
      </c>
      <c r="D170" s="78">
        <v>125000</v>
      </c>
      <c r="E170" s="76">
        <f t="shared" si="1"/>
        <v>125015</v>
      </c>
    </row>
    <row r="171" spans="2:5" ht="15" x14ac:dyDescent="0.2">
      <c r="B171" s="8" t="s">
        <v>39</v>
      </c>
      <c r="C171" s="8" t="s">
        <v>37</v>
      </c>
      <c r="D171" s="78">
        <v>55000</v>
      </c>
      <c r="E171" s="76">
        <f t="shared" si="1"/>
        <v>55015</v>
      </c>
    </row>
    <row r="172" spans="2:5" ht="15" x14ac:dyDescent="0.2">
      <c r="B172" s="8" t="s">
        <v>41</v>
      </c>
      <c r="C172" s="8" t="s">
        <v>6</v>
      </c>
      <c r="D172" s="78">
        <v>43000</v>
      </c>
      <c r="E172" s="76">
        <f t="shared" si="1"/>
        <v>43015</v>
      </c>
    </row>
    <row r="173" spans="2:5" ht="15" x14ac:dyDescent="0.2">
      <c r="B173" s="8" t="s">
        <v>43</v>
      </c>
      <c r="C173" s="8" t="s">
        <v>6</v>
      </c>
      <c r="D173" s="78">
        <v>30000</v>
      </c>
      <c r="E173" s="76">
        <f t="shared" si="1"/>
        <v>30015</v>
      </c>
    </row>
    <row r="174" spans="2:5" ht="15" x14ac:dyDescent="0.2">
      <c r="B174" s="8" t="s">
        <v>46</v>
      </c>
      <c r="C174" s="8" t="s">
        <v>3</v>
      </c>
      <c r="D174" s="78">
        <v>23000</v>
      </c>
      <c r="E174" s="76">
        <f t="shared" si="1"/>
        <v>23015</v>
      </c>
    </row>
    <row r="175" spans="2:5" ht="15" x14ac:dyDescent="0.2">
      <c r="B175" s="8" t="s">
        <v>48</v>
      </c>
      <c r="C175" s="8" t="s">
        <v>6</v>
      </c>
      <c r="D175" s="78">
        <v>23000</v>
      </c>
      <c r="E175" s="76">
        <f t="shared" si="1"/>
        <v>23015</v>
      </c>
    </row>
    <row r="176" spans="2:5" ht="15" x14ac:dyDescent="0.2">
      <c r="B176" s="8" t="s">
        <v>50</v>
      </c>
      <c r="C176" s="8" t="s">
        <v>6</v>
      </c>
      <c r="D176" s="78">
        <v>24000</v>
      </c>
      <c r="E176" s="76">
        <f t="shared" si="1"/>
        <v>24015</v>
      </c>
    </row>
    <row r="177" spans="2:5" ht="15" x14ac:dyDescent="0.2">
      <c r="B177" s="8" t="s">
        <v>52</v>
      </c>
      <c r="C177" s="8" t="s">
        <v>6</v>
      </c>
      <c r="D177" s="78">
        <v>45000</v>
      </c>
      <c r="E177" s="76">
        <f t="shared" si="1"/>
        <v>45015</v>
      </c>
    </row>
    <row r="178" spans="2:5" ht="15" x14ac:dyDescent="0.2">
      <c r="B178" s="8" t="s">
        <v>54</v>
      </c>
      <c r="C178" s="8" t="s">
        <v>6</v>
      </c>
      <c r="D178" s="78">
        <v>65000</v>
      </c>
      <c r="E178" s="76">
        <f t="shared" si="1"/>
        <v>65015</v>
      </c>
    </row>
    <row r="179" spans="2:5" ht="15" x14ac:dyDescent="0.2">
      <c r="B179" s="8" t="s">
        <v>56</v>
      </c>
      <c r="C179" s="8" t="s">
        <v>6</v>
      </c>
      <c r="D179" s="78">
        <v>74000</v>
      </c>
      <c r="E179" s="76">
        <f t="shared" si="1"/>
        <v>74015</v>
      </c>
    </row>
    <row r="180" spans="2:5" ht="15" x14ac:dyDescent="0.2">
      <c r="B180" s="8" t="s">
        <v>58</v>
      </c>
      <c r="C180" s="8" t="s">
        <v>6</v>
      </c>
      <c r="D180" s="78">
        <v>77000</v>
      </c>
      <c r="E180" s="76">
        <f t="shared" si="1"/>
        <v>77015</v>
      </c>
    </row>
    <row r="181" spans="2:5" ht="15" x14ac:dyDescent="0.2">
      <c r="B181" s="8" t="s">
        <v>60</v>
      </c>
      <c r="C181" s="8" t="s">
        <v>6</v>
      </c>
      <c r="D181" s="78">
        <v>63000</v>
      </c>
      <c r="E181" s="76">
        <f t="shared" si="1"/>
        <v>63015</v>
      </c>
    </row>
    <row r="182" spans="2:5" ht="15" x14ac:dyDescent="0.2">
      <c r="B182" s="8" t="s">
        <v>62</v>
      </c>
      <c r="C182" s="8" t="s">
        <v>6</v>
      </c>
      <c r="D182" s="78">
        <v>32000</v>
      </c>
      <c r="E182" s="76">
        <f t="shared" si="1"/>
        <v>32015</v>
      </c>
    </row>
    <row r="183" spans="2:5" ht="15" x14ac:dyDescent="0.2">
      <c r="B183" s="8" t="s">
        <v>64</v>
      </c>
      <c r="C183" s="8" t="s">
        <v>6</v>
      </c>
      <c r="D183" s="78">
        <v>34000</v>
      </c>
      <c r="E183" s="76">
        <f t="shared" si="1"/>
        <v>34015</v>
      </c>
    </row>
    <row r="184" spans="2:5" ht="15" x14ac:dyDescent="0.2">
      <c r="B184" s="8" t="s">
        <v>66</v>
      </c>
      <c r="C184" s="8" t="s">
        <v>6</v>
      </c>
      <c r="D184" s="78">
        <v>24000</v>
      </c>
      <c r="E184" s="76">
        <f t="shared" si="1"/>
        <v>24015</v>
      </c>
    </row>
    <row r="185" spans="2:5" ht="15" x14ac:dyDescent="0.2">
      <c r="B185" s="8" t="s">
        <v>68</v>
      </c>
      <c r="C185" s="8" t="s">
        <v>6</v>
      </c>
      <c r="D185" s="78">
        <v>64000</v>
      </c>
      <c r="E185" s="76">
        <f t="shared" si="1"/>
        <v>64015</v>
      </c>
    </row>
    <row r="186" spans="2:5" ht="15" x14ac:dyDescent="0.2">
      <c r="B186" s="8" t="s">
        <v>70</v>
      </c>
      <c r="C186" s="8" t="s">
        <v>6</v>
      </c>
      <c r="D186" s="78">
        <v>60000</v>
      </c>
      <c r="E186" s="76">
        <f t="shared" si="1"/>
        <v>60015</v>
      </c>
    </row>
    <row r="187" spans="2:5" ht="15" x14ac:dyDescent="0.2">
      <c r="B187" s="8" t="s">
        <v>72</v>
      </c>
      <c r="C187" s="8" t="s">
        <v>6</v>
      </c>
      <c r="D187" s="78">
        <v>15000</v>
      </c>
      <c r="E187" s="76">
        <f t="shared" si="1"/>
        <v>15015</v>
      </c>
    </row>
    <row r="188" spans="2:5" ht="15" x14ac:dyDescent="0.2">
      <c r="B188" s="8" t="s">
        <v>74</v>
      </c>
      <c r="C188" s="8" t="s">
        <v>12</v>
      </c>
      <c r="D188" s="78">
        <v>24000</v>
      </c>
      <c r="E188" s="76">
        <f t="shared" si="1"/>
        <v>24015</v>
      </c>
    </row>
    <row r="189" spans="2:5" ht="15" x14ac:dyDescent="0.2">
      <c r="B189" s="8" t="s">
        <v>76</v>
      </c>
      <c r="C189" s="8" t="s">
        <v>6</v>
      </c>
      <c r="D189" s="78">
        <v>46000</v>
      </c>
      <c r="E189" s="76">
        <f t="shared" si="1"/>
        <v>46015</v>
      </c>
    </row>
    <row r="190" spans="2:5" ht="15" x14ac:dyDescent="0.2">
      <c r="B190" s="8" t="s">
        <v>78</v>
      </c>
      <c r="C190" s="8" t="s">
        <v>6</v>
      </c>
      <c r="D190" s="78">
        <v>55000</v>
      </c>
      <c r="E190" s="76">
        <f t="shared" si="1"/>
        <v>55015</v>
      </c>
    </row>
    <row r="191" spans="2:5" ht="15" x14ac:dyDescent="0.2">
      <c r="B191" s="8" t="s">
        <v>80</v>
      </c>
      <c r="C191" s="8" t="s">
        <v>6</v>
      </c>
      <c r="D191" s="78">
        <v>20500</v>
      </c>
      <c r="E191" s="76">
        <f t="shared" si="1"/>
        <v>20515</v>
      </c>
    </row>
    <row r="192" spans="2:5" ht="15" x14ac:dyDescent="0.2">
      <c r="B192" s="8" t="s">
        <v>82</v>
      </c>
      <c r="C192" s="8" t="s">
        <v>6</v>
      </c>
      <c r="D192" s="78">
        <v>135000</v>
      </c>
      <c r="E192" s="76">
        <f t="shared" si="1"/>
        <v>135015</v>
      </c>
    </row>
    <row r="193" spans="2:5" ht="15" x14ac:dyDescent="0.2">
      <c r="B193" s="8" t="s">
        <v>84</v>
      </c>
      <c r="C193" s="8" t="s">
        <v>6</v>
      </c>
      <c r="D193" s="78">
        <v>15500</v>
      </c>
      <c r="E193" s="76">
        <f t="shared" si="1"/>
        <v>15515</v>
      </c>
    </row>
    <row r="194" spans="2:5" ht="15" x14ac:dyDescent="0.2">
      <c r="B194" s="8" t="s">
        <v>86</v>
      </c>
      <c r="C194" s="8" t="s">
        <v>3</v>
      </c>
      <c r="D194" s="78">
        <v>15000</v>
      </c>
      <c r="E194" s="76">
        <f t="shared" si="1"/>
        <v>15015</v>
      </c>
    </row>
    <row r="195" spans="2:5" ht="15" x14ac:dyDescent="0.2">
      <c r="B195" s="8" t="s">
        <v>88</v>
      </c>
      <c r="C195" s="8" t="s">
        <v>6</v>
      </c>
      <c r="D195" s="78">
        <v>19000</v>
      </c>
      <c r="E195" s="76">
        <f t="shared" si="1"/>
        <v>19015</v>
      </c>
    </row>
    <row r="196" spans="2:5" ht="15" x14ac:dyDescent="0.2">
      <c r="B196" s="74"/>
      <c r="C196" s="74"/>
      <c r="D196" s="78"/>
      <c r="E196" s="76"/>
    </row>
    <row r="197" spans="2:5" ht="15" x14ac:dyDescent="0.2">
      <c r="B197" s="74"/>
      <c r="C197" s="74"/>
      <c r="D197" s="78"/>
      <c r="E197" s="76"/>
    </row>
    <row r="198" spans="2:5" ht="15" x14ac:dyDescent="0.2">
      <c r="B198" s="74"/>
      <c r="C198" s="74"/>
      <c r="D198" s="78"/>
      <c r="E198" s="76"/>
    </row>
    <row r="199" spans="2:5" ht="15" x14ac:dyDescent="0.2">
      <c r="B199" s="74"/>
      <c r="C199" s="74"/>
      <c r="D199" s="78"/>
      <c r="E199" s="76"/>
    </row>
    <row r="200" spans="2:5" ht="15" x14ac:dyDescent="0.2">
      <c r="B200" s="74"/>
      <c r="C200" s="74"/>
      <c r="D200" s="78"/>
      <c r="E200" s="76"/>
    </row>
    <row r="201" spans="2:5" ht="15" x14ac:dyDescent="0.2">
      <c r="B201" s="74"/>
      <c r="C201" s="74"/>
      <c r="D201" s="78"/>
      <c r="E201" s="76"/>
    </row>
    <row r="202" spans="2:5" ht="15" x14ac:dyDescent="0.2">
      <c r="B202" s="74"/>
      <c r="C202" s="74"/>
      <c r="D202" s="78"/>
      <c r="E202" s="76"/>
    </row>
    <row r="203" spans="2:5" ht="15" x14ac:dyDescent="0.2">
      <c r="B203" s="74"/>
      <c r="C203" s="74"/>
      <c r="D203" s="78"/>
      <c r="E203" s="76"/>
    </row>
    <row r="204" spans="2:5" ht="15" x14ac:dyDescent="0.2">
      <c r="B204" s="74"/>
      <c r="C204" s="74"/>
      <c r="D204" s="78"/>
      <c r="E204" s="76"/>
    </row>
    <row r="205" spans="2:5" ht="15" x14ac:dyDescent="0.2">
      <c r="B205" s="74"/>
      <c r="C205" s="74"/>
      <c r="D205" s="78"/>
      <c r="E205" s="76"/>
    </row>
    <row r="206" spans="2:5" ht="15" x14ac:dyDescent="0.2">
      <c r="B206" s="74"/>
      <c r="C206" s="74"/>
      <c r="D206" s="78"/>
      <c r="E206" s="76"/>
    </row>
    <row r="207" spans="2:5" ht="15" x14ac:dyDescent="0.2">
      <c r="B207" s="74"/>
      <c r="C207" s="74"/>
      <c r="D207" s="78"/>
      <c r="E207" s="76"/>
    </row>
    <row r="208" spans="2:5" ht="15" x14ac:dyDescent="0.2">
      <c r="B208" s="74"/>
      <c r="C208" s="74"/>
      <c r="D208" s="78"/>
      <c r="E208" s="76"/>
    </row>
    <row r="209" spans="2:5" ht="15" x14ac:dyDescent="0.2">
      <c r="B209" s="74"/>
      <c r="C209" s="74"/>
      <c r="D209" s="78"/>
      <c r="E209" s="76"/>
    </row>
    <row r="210" spans="2:5" ht="15" x14ac:dyDescent="0.2">
      <c r="B210" s="74"/>
      <c r="C210" s="74"/>
      <c r="D210" s="78"/>
      <c r="E210" s="76"/>
    </row>
    <row r="211" spans="2:5" ht="15" x14ac:dyDescent="0.2">
      <c r="B211" s="74"/>
      <c r="C211" s="74"/>
      <c r="D211" s="78"/>
      <c r="E211" s="76"/>
    </row>
    <row r="212" spans="2:5" ht="15" x14ac:dyDescent="0.2">
      <c r="B212" s="74"/>
      <c r="C212" s="74"/>
      <c r="D212" s="78"/>
      <c r="E212" s="76"/>
    </row>
    <row r="213" spans="2:5" ht="15" x14ac:dyDescent="0.2">
      <c r="B213" s="74"/>
      <c r="C213" s="74"/>
      <c r="D213" s="78"/>
      <c r="E213" s="76"/>
    </row>
    <row r="214" spans="2:5" ht="15" x14ac:dyDescent="0.2">
      <c r="B214" s="74"/>
      <c r="C214" s="74"/>
      <c r="D214" s="78"/>
      <c r="E214" s="76"/>
    </row>
    <row r="215" spans="2:5" ht="15" x14ac:dyDescent="0.2">
      <c r="B215" s="74"/>
      <c r="C215" s="74"/>
      <c r="D215" s="78"/>
      <c r="E215" s="76"/>
    </row>
    <row r="216" spans="2:5" ht="15" x14ac:dyDescent="0.2">
      <c r="B216" s="74"/>
      <c r="C216" s="74"/>
      <c r="D216" s="78"/>
      <c r="E216" s="76"/>
    </row>
    <row r="217" spans="2:5" ht="15" x14ac:dyDescent="0.2">
      <c r="B217" s="74"/>
      <c r="C217" s="74"/>
      <c r="D217" s="78"/>
      <c r="E217" s="76"/>
    </row>
    <row r="218" spans="2:5" ht="15" x14ac:dyDescent="0.2">
      <c r="B218" s="74"/>
      <c r="C218" s="74"/>
      <c r="D218" s="78"/>
      <c r="E218" s="76"/>
    </row>
    <row r="219" spans="2:5" ht="15" x14ac:dyDescent="0.2">
      <c r="B219" s="74"/>
      <c r="C219" s="74"/>
      <c r="D219" s="78"/>
      <c r="E219" s="76"/>
    </row>
    <row r="220" spans="2:5" ht="15" x14ac:dyDescent="0.2">
      <c r="B220" s="74"/>
      <c r="C220" s="74"/>
      <c r="D220" s="78"/>
      <c r="E220" s="76"/>
    </row>
    <row r="221" spans="2:5" ht="15" x14ac:dyDescent="0.2">
      <c r="B221" s="74"/>
      <c r="C221" s="74"/>
      <c r="D221" s="78"/>
      <c r="E221" s="76"/>
    </row>
    <row r="222" spans="2:5" ht="15" x14ac:dyDescent="0.2">
      <c r="B222" s="74"/>
      <c r="C222" s="74"/>
      <c r="D222" s="78"/>
      <c r="E222" s="76"/>
    </row>
    <row r="223" spans="2:5" ht="15" x14ac:dyDescent="0.2">
      <c r="B223" s="74"/>
      <c r="C223" s="74"/>
      <c r="D223" s="78"/>
      <c r="E223" s="76"/>
    </row>
    <row r="224" spans="2:5" ht="15" x14ac:dyDescent="0.2">
      <c r="B224" s="74"/>
      <c r="C224" s="74"/>
      <c r="D224" s="78"/>
      <c r="E224" s="76"/>
    </row>
    <row r="225" spans="2:5" ht="15" x14ac:dyDescent="0.2">
      <c r="B225" s="74"/>
      <c r="C225" s="74"/>
      <c r="D225" s="78"/>
      <c r="E225" s="76"/>
    </row>
    <row r="226" spans="2:5" ht="15" x14ac:dyDescent="0.2">
      <c r="B226" s="74"/>
      <c r="C226" s="74"/>
      <c r="D226" s="78"/>
      <c r="E226" s="76"/>
    </row>
    <row r="227" spans="2:5" ht="15" x14ac:dyDescent="0.2">
      <c r="B227" s="74"/>
      <c r="C227" s="74"/>
      <c r="D227" s="78"/>
      <c r="E227" s="76"/>
    </row>
    <row r="228" spans="2:5" ht="15" x14ac:dyDescent="0.2">
      <c r="B228" s="74"/>
      <c r="C228" s="74"/>
      <c r="D228" s="78"/>
      <c r="E228" s="76"/>
    </row>
    <row r="229" spans="2:5" ht="15" x14ac:dyDescent="0.2">
      <c r="B229" s="74"/>
      <c r="C229" s="74"/>
      <c r="D229" s="78"/>
      <c r="E229" s="76"/>
    </row>
    <row r="230" spans="2:5" ht="15" x14ac:dyDescent="0.2">
      <c r="B230" s="74"/>
      <c r="C230" s="74"/>
      <c r="D230" s="78"/>
      <c r="E230" s="76"/>
    </row>
    <row r="231" spans="2:5" ht="15" x14ac:dyDescent="0.2">
      <c r="B231" s="74"/>
      <c r="C231" s="74"/>
      <c r="D231" s="78"/>
      <c r="E231" s="76"/>
    </row>
    <row r="232" spans="2:5" ht="15" x14ac:dyDescent="0.2">
      <c r="B232" s="74"/>
      <c r="C232" s="74"/>
      <c r="D232" s="78"/>
      <c r="E232" s="76"/>
    </row>
    <row r="233" spans="2:5" ht="15" x14ac:dyDescent="0.2">
      <c r="B233" s="74"/>
      <c r="C233" s="74"/>
      <c r="D233" s="78"/>
      <c r="E233" s="76"/>
    </row>
    <row r="234" spans="2:5" ht="15" x14ac:dyDescent="0.2">
      <c r="B234" s="74"/>
      <c r="C234" s="74"/>
      <c r="D234" s="78"/>
      <c r="E234" s="76"/>
    </row>
    <row r="235" spans="2:5" ht="15" x14ac:dyDescent="0.2">
      <c r="B235" s="74"/>
      <c r="C235" s="74"/>
      <c r="D235" s="78"/>
      <c r="E235" s="76"/>
    </row>
    <row r="236" spans="2:5" ht="15" x14ac:dyDescent="0.2">
      <c r="B236" s="74"/>
      <c r="C236" s="74"/>
      <c r="D236" s="78"/>
      <c r="E236" s="76"/>
    </row>
    <row r="237" spans="2:5" ht="15" x14ac:dyDescent="0.2">
      <c r="B237" s="74"/>
      <c r="C237" s="74"/>
      <c r="D237" s="78"/>
      <c r="E237" s="76"/>
    </row>
    <row r="238" spans="2:5" ht="15" x14ac:dyDescent="0.2">
      <c r="B238" s="74"/>
      <c r="C238" s="74"/>
      <c r="D238" s="78"/>
      <c r="E238" s="76"/>
    </row>
    <row r="239" spans="2:5" ht="15" x14ac:dyDescent="0.2">
      <c r="B239" s="74"/>
      <c r="C239" s="74"/>
      <c r="D239" s="78"/>
      <c r="E239" s="76"/>
    </row>
    <row r="240" spans="2:5" ht="15" x14ac:dyDescent="0.2">
      <c r="B240" s="74"/>
      <c r="C240" s="74"/>
      <c r="D240" s="78"/>
      <c r="E240" s="76"/>
    </row>
    <row r="241" spans="2:5" ht="15" x14ac:dyDescent="0.2">
      <c r="B241" s="74"/>
      <c r="C241" s="74"/>
      <c r="D241" s="78"/>
      <c r="E241" s="76"/>
    </row>
    <row r="242" spans="2:5" ht="15" x14ac:dyDescent="0.2">
      <c r="B242" s="74"/>
      <c r="C242" s="74"/>
      <c r="D242" s="78"/>
      <c r="E242" s="76"/>
    </row>
    <row r="243" spans="2:5" ht="15" x14ac:dyDescent="0.2">
      <c r="B243" s="74"/>
      <c r="C243" s="74"/>
      <c r="D243" s="78"/>
      <c r="E243" s="76"/>
    </row>
    <row r="244" spans="2:5" ht="15" x14ac:dyDescent="0.2">
      <c r="B244" s="74"/>
      <c r="C244" s="74"/>
      <c r="D244" s="78"/>
      <c r="E244" s="76"/>
    </row>
    <row r="245" spans="2:5" ht="15" x14ac:dyDescent="0.2">
      <c r="B245" s="74"/>
      <c r="C245" s="74"/>
      <c r="D245" s="78"/>
      <c r="E245" s="76"/>
    </row>
    <row r="246" spans="2:5" ht="15" x14ac:dyDescent="0.2">
      <c r="B246" s="74"/>
      <c r="C246" s="74"/>
      <c r="D246" s="78"/>
      <c r="E246" s="76"/>
    </row>
    <row r="247" spans="2:5" ht="15" x14ac:dyDescent="0.2">
      <c r="B247" s="74"/>
      <c r="C247" s="74"/>
      <c r="D247" s="78"/>
      <c r="E247" s="76"/>
    </row>
    <row r="248" spans="2:5" ht="15" x14ac:dyDescent="0.2">
      <c r="B248" s="74"/>
      <c r="C248" s="74"/>
      <c r="D248" s="78"/>
      <c r="E248" s="76"/>
    </row>
    <row r="249" spans="2:5" ht="15" x14ac:dyDescent="0.2">
      <c r="B249" s="74"/>
      <c r="C249" s="74"/>
      <c r="D249" s="78"/>
      <c r="E249" s="76"/>
    </row>
    <row r="250" spans="2:5" ht="15" x14ac:dyDescent="0.2">
      <c r="B250" s="74"/>
      <c r="C250" s="74"/>
      <c r="D250" s="78"/>
      <c r="E250" s="76"/>
    </row>
    <row r="251" spans="2:5" ht="15" x14ac:dyDescent="0.2">
      <c r="B251" s="74"/>
      <c r="C251" s="74"/>
      <c r="D251" s="78"/>
      <c r="E251" s="76"/>
    </row>
    <row r="252" spans="2:5" ht="15" x14ac:dyDescent="0.2">
      <c r="B252" s="74"/>
      <c r="C252" s="74"/>
      <c r="D252" s="78"/>
      <c r="E252" s="76"/>
    </row>
    <row r="253" spans="2:5" ht="15" x14ac:dyDescent="0.2">
      <c r="B253" s="74"/>
      <c r="C253" s="74"/>
      <c r="D253" s="78"/>
      <c r="E253" s="76"/>
    </row>
    <row r="254" spans="2:5" ht="15" x14ac:dyDescent="0.2">
      <c r="B254" s="74"/>
      <c r="C254" s="74"/>
      <c r="D254" s="78"/>
      <c r="E254" s="76"/>
    </row>
    <row r="255" spans="2:5" ht="15" x14ac:dyDescent="0.2">
      <c r="B255" s="74"/>
      <c r="C255" s="74"/>
      <c r="D255" s="78"/>
      <c r="E255" s="76"/>
    </row>
    <row r="256" spans="2:5" ht="15" x14ac:dyDescent="0.2">
      <c r="B256" s="74"/>
      <c r="C256" s="74"/>
      <c r="D256" s="78"/>
      <c r="E256" s="76"/>
    </row>
    <row r="257" spans="2:5" ht="15" x14ac:dyDescent="0.2">
      <c r="B257" s="74"/>
      <c r="C257" s="74"/>
      <c r="D257" s="78"/>
      <c r="E257" s="76"/>
    </row>
    <row r="258" spans="2:5" ht="15" x14ac:dyDescent="0.2">
      <c r="B258" s="74"/>
      <c r="C258" s="74"/>
      <c r="D258" s="78"/>
      <c r="E258" s="76"/>
    </row>
    <row r="259" spans="2:5" ht="15" x14ac:dyDescent="0.2">
      <c r="B259" s="74"/>
      <c r="C259" s="74"/>
      <c r="D259" s="78"/>
      <c r="E259" s="76"/>
    </row>
    <row r="260" spans="2:5" ht="15" x14ac:dyDescent="0.2">
      <c r="B260" s="74"/>
      <c r="C260" s="74"/>
      <c r="D260" s="78"/>
      <c r="E260" s="76"/>
    </row>
    <row r="261" spans="2:5" ht="15" x14ac:dyDescent="0.2">
      <c r="B261" s="74"/>
      <c r="C261" s="74"/>
      <c r="D261" s="78"/>
      <c r="E261" s="76"/>
    </row>
    <row r="262" spans="2:5" ht="15" x14ac:dyDescent="0.2">
      <c r="B262" s="74"/>
      <c r="C262" s="74"/>
      <c r="D262" s="78"/>
      <c r="E262" s="76"/>
    </row>
    <row r="263" spans="2:5" ht="15" x14ac:dyDescent="0.2">
      <c r="B263" s="74"/>
      <c r="C263" s="74"/>
      <c r="D263" s="78"/>
      <c r="E263" s="76"/>
    </row>
    <row r="264" spans="2:5" ht="15" x14ac:dyDescent="0.2">
      <c r="B264" s="74"/>
      <c r="C264" s="74"/>
      <c r="D264" s="78"/>
      <c r="E264" s="76"/>
    </row>
    <row r="265" spans="2:5" ht="15" x14ac:dyDescent="0.2">
      <c r="B265" s="74"/>
      <c r="C265" s="74"/>
      <c r="D265" s="78"/>
      <c r="E265" s="76"/>
    </row>
    <row r="266" spans="2:5" ht="15" x14ac:dyDescent="0.2">
      <c r="B266" s="74"/>
      <c r="C266" s="74"/>
      <c r="D266" s="78"/>
      <c r="E266" s="76"/>
    </row>
    <row r="267" spans="2:5" ht="15" x14ac:dyDescent="0.2">
      <c r="B267" s="74"/>
      <c r="C267" s="74"/>
      <c r="D267" s="78"/>
      <c r="E267" s="76"/>
    </row>
    <row r="268" spans="2:5" ht="15" x14ac:dyDescent="0.2">
      <c r="B268" s="74"/>
      <c r="C268" s="74"/>
      <c r="D268" s="78"/>
      <c r="E268" s="76"/>
    </row>
    <row r="269" spans="2:5" ht="15" x14ac:dyDescent="0.2">
      <c r="B269" s="74"/>
      <c r="C269" s="74"/>
      <c r="D269" s="78"/>
      <c r="E269" s="76"/>
    </row>
    <row r="270" spans="2:5" ht="15" x14ac:dyDescent="0.2">
      <c r="B270" s="74"/>
      <c r="C270" s="74"/>
      <c r="D270" s="78"/>
      <c r="E270" s="76"/>
    </row>
    <row r="271" spans="2:5" ht="15" x14ac:dyDescent="0.2">
      <c r="B271" s="74"/>
      <c r="C271" s="74"/>
      <c r="D271" s="78"/>
      <c r="E271" s="76"/>
    </row>
    <row r="272" spans="2:5" ht="15" x14ac:dyDescent="0.2">
      <c r="B272" s="74"/>
      <c r="C272" s="74"/>
      <c r="D272" s="78"/>
      <c r="E272" s="76"/>
    </row>
    <row r="273" spans="2:5" ht="15" x14ac:dyDescent="0.2">
      <c r="B273" s="74"/>
      <c r="C273" s="74"/>
      <c r="D273" s="78"/>
      <c r="E273" s="76"/>
    </row>
    <row r="274" spans="2:5" ht="15" x14ac:dyDescent="0.2">
      <c r="B274" s="74"/>
      <c r="C274" s="74"/>
      <c r="D274" s="78"/>
      <c r="E274" s="76"/>
    </row>
    <row r="275" spans="2:5" ht="15" x14ac:dyDescent="0.2">
      <c r="B275" s="74"/>
      <c r="C275" s="74"/>
      <c r="D275" s="78"/>
      <c r="E275" s="76"/>
    </row>
    <row r="276" spans="2:5" ht="15" x14ac:dyDescent="0.2">
      <c r="B276" s="74"/>
      <c r="C276" s="74"/>
      <c r="D276" s="78"/>
      <c r="E276" s="76"/>
    </row>
    <row r="277" spans="2:5" ht="15" x14ac:dyDescent="0.2">
      <c r="B277" s="74"/>
      <c r="C277" s="74"/>
      <c r="D277" s="78"/>
      <c r="E277" s="76"/>
    </row>
    <row r="278" spans="2:5" ht="15" x14ac:dyDescent="0.2">
      <c r="B278" s="74"/>
      <c r="C278" s="74"/>
      <c r="D278" s="78"/>
      <c r="E278" s="76"/>
    </row>
    <row r="279" spans="2:5" ht="15" x14ac:dyDescent="0.2">
      <c r="B279" s="74"/>
      <c r="C279" s="74"/>
      <c r="D279" s="78"/>
      <c r="E279" s="76"/>
    </row>
    <row r="280" spans="2:5" ht="15" x14ac:dyDescent="0.2">
      <c r="B280" s="74"/>
      <c r="C280" s="74"/>
      <c r="D280" s="78"/>
      <c r="E280" s="76"/>
    </row>
    <row r="281" spans="2:5" ht="15" x14ac:dyDescent="0.2">
      <c r="B281" s="74"/>
      <c r="C281" s="74"/>
      <c r="D281" s="78"/>
      <c r="E281" s="76"/>
    </row>
    <row r="282" spans="2:5" ht="15" x14ac:dyDescent="0.2">
      <c r="B282" s="74"/>
      <c r="C282" s="74"/>
      <c r="D282" s="78"/>
      <c r="E282" s="76"/>
    </row>
    <row r="283" spans="2:5" ht="15" x14ac:dyDescent="0.2">
      <c r="B283" s="74"/>
      <c r="C283" s="74"/>
      <c r="D283" s="78"/>
      <c r="E283" s="76"/>
    </row>
    <row r="284" spans="2:5" ht="15" x14ac:dyDescent="0.2">
      <c r="B284" s="74"/>
      <c r="C284" s="74"/>
      <c r="D284" s="78"/>
      <c r="E284" s="76"/>
    </row>
    <row r="285" spans="2:5" ht="15" x14ac:dyDescent="0.2">
      <c r="B285" s="74"/>
      <c r="C285" s="74"/>
      <c r="D285" s="78"/>
      <c r="E285" s="76"/>
    </row>
    <row r="286" spans="2:5" ht="15" x14ac:dyDescent="0.2">
      <c r="B286" s="74"/>
      <c r="C286" s="74"/>
      <c r="D286" s="78"/>
      <c r="E286" s="76"/>
    </row>
    <row r="287" spans="2:5" ht="15" x14ac:dyDescent="0.2">
      <c r="B287" s="74"/>
      <c r="C287" s="74"/>
      <c r="D287" s="78"/>
      <c r="E287" s="76"/>
    </row>
    <row r="288" spans="2:5" ht="15" x14ac:dyDescent="0.2">
      <c r="B288" s="74"/>
      <c r="C288" s="74"/>
      <c r="D288" s="78"/>
      <c r="E288" s="76"/>
    </row>
    <row r="289" spans="1:5" ht="15" x14ac:dyDescent="0.2">
      <c r="B289" s="74"/>
      <c r="C289" s="74"/>
      <c r="D289" s="78"/>
      <c r="E289" s="76"/>
    </row>
    <row r="290" spans="1:5" ht="15" x14ac:dyDescent="0.2">
      <c r="B290" s="74"/>
      <c r="C290" s="74"/>
      <c r="D290" s="78"/>
      <c r="E290" s="76"/>
    </row>
    <row r="291" spans="1:5" ht="15" x14ac:dyDescent="0.2">
      <c r="B291" s="74"/>
      <c r="C291" s="74"/>
      <c r="D291" s="78"/>
      <c r="E291" s="76"/>
    </row>
    <row r="292" spans="1:5" ht="15" x14ac:dyDescent="0.2">
      <c r="B292" s="74"/>
      <c r="C292" s="74"/>
      <c r="D292" s="78"/>
      <c r="E292" s="76"/>
    </row>
    <row r="293" spans="1:5" ht="15" x14ac:dyDescent="0.2">
      <c r="B293" s="74"/>
      <c r="C293" s="74"/>
      <c r="D293" s="78"/>
      <c r="E293" s="76"/>
    </row>
    <row r="294" spans="1:5" ht="15" x14ac:dyDescent="0.2">
      <c r="B294" s="74"/>
      <c r="C294" s="74"/>
      <c r="D294" s="78"/>
      <c r="E294" s="76"/>
    </row>
    <row r="295" spans="1:5" ht="15" x14ac:dyDescent="0.2">
      <c r="B295" s="74"/>
      <c r="C295" s="74"/>
      <c r="D295" s="78"/>
      <c r="E295" s="76"/>
    </row>
    <row r="296" spans="1:5" ht="15" x14ac:dyDescent="0.2">
      <c r="B296" s="8"/>
      <c r="C296" s="8"/>
      <c r="D296" s="78"/>
      <c r="E296" s="76"/>
    </row>
    <row r="297" spans="1:5" ht="15" x14ac:dyDescent="0.2">
      <c r="A297" s="53" t="s">
        <v>2428</v>
      </c>
      <c r="B297" s="8" t="s">
        <v>90</v>
      </c>
      <c r="C297" s="8" t="s">
        <v>3</v>
      </c>
      <c r="D297" s="78">
        <v>17000</v>
      </c>
      <c r="E297" s="76">
        <f t="shared" si="1"/>
        <v>17015</v>
      </c>
    </row>
    <row r="298" spans="1:5" ht="15" x14ac:dyDescent="0.2">
      <c r="B298" s="8" t="s">
        <v>92</v>
      </c>
      <c r="C298" s="8" t="s">
        <v>3</v>
      </c>
      <c r="D298" s="78">
        <v>56500</v>
      </c>
      <c r="E298" s="76">
        <f t="shared" si="1"/>
        <v>56515</v>
      </c>
    </row>
    <row r="299" spans="1:5" ht="15" x14ac:dyDescent="0.2">
      <c r="B299" s="8" t="s">
        <v>94</v>
      </c>
      <c r="C299" s="8" t="s">
        <v>6</v>
      </c>
      <c r="D299" s="78">
        <v>55000</v>
      </c>
      <c r="E299" s="76">
        <f t="shared" si="1"/>
        <v>55015</v>
      </c>
    </row>
    <row r="300" spans="1:5" ht="15" x14ac:dyDescent="0.2">
      <c r="B300" s="8" t="s">
        <v>96</v>
      </c>
      <c r="C300" s="8" t="s">
        <v>3</v>
      </c>
      <c r="D300" s="78">
        <v>14500</v>
      </c>
      <c r="E300" s="76">
        <f t="shared" si="1"/>
        <v>14515</v>
      </c>
    </row>
    <row r="301" spans="1:5" ht="15" x14ac:dyDescent="0.2">
      <c r="B301" s="8" t="s">
        <v>98</v>
      </c>
      <c r="C301" s="8" t="s">
        <v>37</v>
      </c>
      <c r="D301" s="78">
        <v>34000</v>
      </c>
      <c r="E301" s="76">
        <f t="shared" si="1"/>
        <v>34015</v>
      </c>
    </row>
    <row r="302" spans="1:5" ht="15" x14ac:dyDescent="0.2">
      <c r="B302" s="8" t="s">
        <v>100</v>
      </c>
      <c r="C302" s="8" t="s">
        <v>101</v>
      </c>
      <c r="D302" s="78">
        <v>3500</v>
      </c>
      <c r="E302" s="76">
        <f t="shared" si="1"/>
        <v>3515</v>
      </c>
    </row>
    <row r="303" spans="1:5" ht="15" x14ac:dyDescent="0.2">
      <c r="B303" s="8" t="s">
        <v>103</v>
      </c>
      <c r="C303" s="8" t="s">
        <v>3</v>
      </c>
      <c r="D303" s="78">
        <v>21000</v>
      </c>
      <c r="E303" s="76">
        <f t="shared" si="1"/>
        <v>21015</v>
      </c>
    </row>
    <row r="304" spans="1:5" ht="15" x14ac:dyDescent="0.2">
      <c r="B304" s="8" t="s">
        <v>105</v>
      </c>
      <c r="C304" s="8" t="s">
        <v>6</v>
      </c>
      <c r="D304" s="78">
        <v>44000</v>
      </c>
      <c r="E304" s="76">
        <f t="shared" si="1"/>
        <v>44015</v>
      </c>
    </row>
    <row r="305" spans="2:5" ht="15" x14ac:dyDescent="0.2">
      <c r="B305" s="8" t="s">
        <v>107</v>
      </c>
      <c r="C305" s="8" t="s">
        <v>101</v>
      </c>
      <c r="D305" s="78">
        <v>75000</v>
      </c>
      <c r="E305" s="76">
        <f t="shared" si="1"/>
        <v>75015</v>
      </c>
    </row>
    <row r="306" spans="2:5" ht="15" x14ac:dyDescent="0.2">
      <c r="B306" s="8" t="s">
        <v>109</v>
      </c>
      <c r="C306" s="8" t="s">
        <v>101</v>
      </c>
      <c r="D306" s="78">
        <v>56000</v>
      </c>
      <c r="E306" s="76">
        <f t="shared" si="1"/>
        <v>56015</v>
      </c>
    </row>
    <row r="307" spans="2:5" ht="15" x14ac:dyDescent="0.2">
      <c r="B307" s="8" t="s">
        <v>112</v>
      </c>
      <c r="C307" s="8" t="s">
        <v>111</v>
      </c>
      <c r="D307" s="79">
        <v>40000</v>
      </c>
      <c r="E307" s="76">
        <f t="shared" si="1"/>
        <v>40015</v>
      </c>
    </row>
    <row r="308" spans="2:5" ht="15" x14ac:dyDescent="0.2">
      <c r="B308" s="8" t="s">
        <v>113</v>
      </c>
      <c r="C308" s="8" t="s">
        <v>6</v>
      </c>
      <c r="D308" s="76">
        <v>98000</v>
      </c>
      <c r="E308" s="76">
        <f t="shared" si="1"/>
        <v>98015</v>
      </c>
    </row>
    <row r="309" spans="2:5" ht="15" x14ac:dyDescent="0.2">
      <c r="B309" s="8" t="s">
        <v>115</v>
      </c>
      <c r="C309" s="8" t="s">
        <v>3</v>
      </c>
      <c r="D309" s="76">
        <v>45000</v>
      </c>
      <c r="E309" s="76">
        <f t="shared" si="1"/>
        <v>45015</v>
      </c>
    </row>
    <row r="310" spans="2:5" ht="15" x14ac:dyDescent="0.2">
      <c r="B310" s="8" t="s">
        <v>117</v>
      </c>
      <c r="C310" s="8" t="s">
        <v>6</v>
      </c>
      <c r="D310" s="76">
        <v>148000</v>
      </c>
      <c r="E310" s="76">
        <f t="shared" si="1"/>
        <v>148015</v>
      </c>
    </row>
    <row r="311" spans="2:5" ht="15" x14ac:dyDescent="0.2">
      <c r="B311" s="8" t="s">
        <v>119</v>
      </c>
      <c r="C311" s="8" t="s">
        <v>6</v>
      </c>
      <c r="D311" s="76">
        <v>198000</v>
      </c>
      <c r="E311" s="76">
        <f t="shared" si="1"/>
        <v>198015</v>
      </c>
    </row>
    <row r="312" spans="2:5" ht="15" x14ac:dyDescent="0.2">
      <c r="B312" s="8" t="s">
        <v>121</v>
      </c>
      <c r="C312" s="8" t="s">
        <v>3</v>
      </c>
      <c r="D312" s="76">
        <v>44000</v>
      </c>
      <c r="E312" s="76">
        <f t="shared" si="1"/>
        <v>44015</v>
      </c>
    </row>
    <row r="313" spans="2:5" ht="15" x14ac:dyDescent="0.2">
      <c r="B313" s="8" t="s">
        <v>124</v>
      </c>
      <c r="C313" s="8" t="s">
        <v>6</v>
      </c>
      <c r="D313" s="76">
        <v>32500</v>
      </c>
      <c r="E313" s="76">
        <f t="shared" si="1"/>
        <v>32515</v>
      </c>
    </row>
    <row r="314" spans="2:5" ht="15" x14ac:dyDescent="0.2">
      <c r="B314" s="8" t="s">
        <v>126</v>
      </c>
      <c r="C314" s="8" t="s">
        <v>6</v>
      </c>
      <c r="D314" s="76">
        <v>117000</v>
      </c>
      <c r="E314" s="76">
        <f t="shared" si="1"/>
        <v>117015</v>
      </c>
    </row>
    <row r="315" spans="2:5" ht="15" x14ac:dyDescent="0.2">
      <c r="B315" s="8" t="s">
        <v>128</v>
      </c>
      <c r="C315" s="8" t="s">
        <v>6</v>
      </c>
      <c r="D315" s="76">
        <v>136000</v>
      </c>
      <c r="E315" s="76">
        <f t="shared" si="1"/>
        <v>136015</v>
      </c>
    </row>
    <row r="316" spans="2:5" ht="15" x14ac:dyDescent="0.2">
      <c r="B316" s="8" t="s">
        <v>130</v>
      </c>
      <c r="C316" s="8" t="s">
        <v>6</v>
      </c>
      <c r="D316" s="76">
        <v>112000</v>
      </c>
      <c r="E316" s="76">
        <f t="shared" si="1"/>
        <v>112015</v>
      </c>
    </row>
    <row r="317" spans="2:5" ht="15" x14ac:dyDescent="0.2">
      <c r="B317" s="8" t="s">
        <v>132</v>
      </c>
      <c r="C317" s="8" t="s">
        <v>101</v>
      </c>
      <c r="D317" s="76">
        <v>57500</v>
      </c>
      <c r="E317" s="76">
        <f t="shared" si="1"/>
        <v>57515</v>
      </c>
    </row>
    <row r="318" spans="2:5" ht="15" x14ac:dyDescent="0.2">
      <c r="B318" s="8" t="s">
        <v>134</v>
      </c>
      <c r="C318" s="8" t="s">
        <v>101</v>
      </c>
      <c r="D318" s="76">
        <v>22000</v>
      </c>
      <c r="E318" s="76">
        <f t="shared" si="1"/>
        <v>22015</v>
      </c>
    </row>
    <row r="319" spans="2:5" ht="15" x14ac:dyDescent="0.2">
      <c r="B319" s="8" t="s">
        <v>136</v>
      </c>
      <c r="C319" s="8" t="s">
        <v>37</v>
      </c>
      <c r="D319" s="76">
        <v>69000</v>
      </c>
      <c r="E319" s="76">
        <f t="shared" si="1"/>
        <v>69015</v>
      </c>
    </row>
    <row r="320" spans="2:5" ht="15" x14ac:dyDescent="0.2">
      <c r="B320" s="8" t="s">
        <v>138</v>
      </c>
      <c r="C320" s="8" t="s">
        <v>37</v>
      </c>
      <c r="D320" s="76">
        <v>58000</v>
      </c>
      <c r="E320" s="76">
        <f t="shared" si="1"/>
        <v>58015</v>
      </c>
    </row>
    <row r="321" spans="2:5" ht="15" x14ac:dyDescent="0.2">
      <c r="B321" s="8" t="s">
        <v>140</v>
      </c>
      <c r="C321" s="8" t="s">
        <v>101</v>
      </c>
      <c r="D321" s="76">
        <v>52000</v>
      </c>
      <c r="E321" s="76">
        <f t="shared" si="1"/>
        <v>52015</v>
      </c>
    </row>
    <row r="322" spans="2:5" ht="15" x14ac:dyDescent="0.2">
      <c r="B322" s="8" t="s">
        <v>142</v>
      </c>
      <c r="C322" s="8" t="s">
        <v>6</v>
      </c>
      <c r="D322" s="76">
        <v>52000</v>
      </c>
      <c r="E322" s="76">
        <f t="shared" si="1"/>
        <v>52015</v>
      </c>
    </row>
    <row r="323" spans="2:5" ht="15" x14ac:dyDescent="0.2">
      <c r="B323" s="8" t="s">
        <v>144</v>
      </c>
      <c r="C323" s="8" t="s">
        <v>6</v>
      </c>
      <c r="D323" s="76">
        <v>19000</v>
      </c>
      <c r="E323" s="76">
        <f t="shared" si="1"/>
        <v>19015</v>
      </c>
    </row>
    <row r="324" spans="2:5" ht="15" x14ac:dyDescent="0.2">
      <c r="B324" s="8" t="s">
        <v>146</v>
      </c>
      <c r="C324" s="8" t="s">
        <v>6</v>
      </c>
      <c r="D324" s="76">
        <v>56000</v>
      </c>
      <c r="E324" s="76">
        <f t="shared" si="1"/>
        <v>56015</v>
      </c>
    </row>
    <row r="325" spans="2:5" ht="15" x14ac:dyDescent="0.2">
      <c r="B325" s="8" t="s">
        <v>148</v>
      </c>
      <c r="C325" s="8" t="s">
        <v>6</v>
      </c>
      <c r="D325" s="76">
        <v>23000</v>
      </c>
      <c r="E325" s="76">
        <f t="shared" si="1"/>
        <v>23015</v>
      </c>
    </row>
    <row r="326" spans="2:5" ht="15" x14ac:dyDescent="0.2">
      <c r="B326" s="8" t="s">
        <v>150</v>
      </c>
      <c r="C326" s="8" t="s">
        <v>6</v>
      </c>
      <c r="D326" s="76">
        <v>18500</v>
      </c>
      <c r="E326" s="76">
        <f t="shared" si="1"/>
        <v>18515</v>
      </c>
    </row>
    <row r="327" spans="2:5" ht="15" x14ac:dyDescent="0.2">
      <c r="B327" s="8" t="s">
        <v>152</v>
      </c>
      <c r="C327" s="8" t="s">
        <v>6</v>
      </c>
      <c r="D327" s="76">
        <v>66500</v>
      </c>
      <c r="E327" s="76">
        <f t="shared" si="1"/>
        <v>66515</v>
      </c>
    </row>
    <row r="328" spans="2:5" ht="15" x14ac:dyDescent="0.2">
      <c r="B328" s="8" t="s">
        <v>154</v>
      </c>
      <c r="C328" s="8" t="s">
        <v>6</v>
      </c>
      <c r="D328" s="76">
        <v>52000</v>
      </c>
      <c r="E328" s="76">
        <f t="shared" si="1"/>
        <v>52015</v>
      </c>
    </row>
    <row r="329" spans="2:5" ht="15" x14ac:dyDescent="0.2">
      <c r="B329" s="8" t="s">
        <v>156</v>
      </c>
      <c r="C329" s="8" t="s">
        <v>6</v>
      </c>
      <c r="D329" s="76">
        <v>60500</v>
      </c>
      <c r="E329" s="76">
        <f t="shared" si="1"/>
        <v>60515</v>
      </c>
    </row>
    <row r="330" spans="2:5" ht="15" x14ac:dyDescent="0.2">
      <c r="B330" s="8" t="s">
        <v>158</v>
      </c>
      <c r="C330" s="8" t="s">
        <v>3</v>
      </c>
      <c r="D330" s="76">
        <v>84000</v>
      </c>
      <c r="E330" s="76">
        <f t="shared" si="1"/>
        <v>84015</v>
      </c>
    </row>
    <row r="331" spans="2:5" ht="15" x14ac:dyDescent="0.2">
      <c r="B331" s="8" t="s">
        <v>160</v>
      </c>
      <c r="C331" s="8" t="s">
        <v>6</v>
      </c>
      <c r="D331" s="76">
        <v>24000</v>
      </c>
      <c r="E331" s="76">
        <f t="shared" ref="E331:E393" si="2">D331+15</f>
        <v>24015</v>
      </c>
    </row>
    <row r="332" spans="2:5" ht="15" x14ac:dyDescent="0.2">
      <c r="B332" s="8" t="s">
        <v>162</v>
      </c>
      <c r="C332" s="8" t="s">
        <v>12</v>
      </c>
      <c r="D332" s="76">
        <v>55000</v>
      </c>
      <c r="E332" s="76">
        <f t="shared" si="2"/>
        <v>55015</v>
      </c>
    </row>
    <row r="333" spans="2:5" ht="15" x14ac:dyDescent="0.2">
      <c r="B333" s="8" t="s">
        <v>164</v>
      </c>
      <c r="C333" s="8" t="s">
        <v>6</v>
      </c>
      <c r="D333" s="76">
        <v>51000</v>
      </c>
      <c r="E333" s="76">
        <f t="shared" si="2"/>
        <v>51015</v>
      </c>
    </row>
    <row r="334" spans="2:5" ht="15" x14ac:dyDescent="0.2">
      <c r="B334" s="8" t="s">
        <v>166</v>
      </c>
      <c r="C334" s="8" t="s">
        <v>12</v>
      </c>
      <c r="D334" s="76">
        <v>29000</v>
      </c>
      <c r="E334" s="76">
        <f t="shared" si="2"/>
        <v>29015</v>
      </c>
    </row>
    <row r="335" spans="2:5" ht="15" x14ac:dyDescent="0.2">
      <c r="B335" s="8" t="s">
        <v>168</v>
      </c>
      <c r="C335" s="8" t="s">
        <v>3</v>
      </c>
      <c r="D335" s="76">
        <v>27000</v>
      </c>
      <c r="E335" s="76">
        <f t="shared" si="2"/>
        <v>27015</v>
      </c>
    </row>
    <row r="336" spans="2:5" ht="15" x14ac:dyDescent="0.2">
      <c r="B336" s="8" t="s">
        <v>170</v>
      </c>
      <c r="C336" s="8" t="s">
        <v>3</v>
      </c>
      <c r="D336" s="76">
        <v>10500</v>
      </c>
      <c r="E336" s="76">
        <f t="shared" si="2"/>
        <v>10515</v>
      </c>
    </row>
    <row r="337" spans="2:5" ht="15" x14ac:dyDescent="0.2">
      <c r="B337" s="8" t="s">
        <v>172</v>
      </c>
      <c r="C337" s="8" t="s">
        <v>37</v>
      </c>
      <c r="D337" s="76">
        <v>33000</v>
      </c>
      <c r="E337" s="76">
        <f t="shared" si="2"/>
        <v>33015</v>
      </c>
    </row>
    <row r="338" spans="2:5" ht="15" x14ac:dyDescent="0.2">
      <c r="B338" s="8" t="s">
        <v>174</v>
      </c>
      <c r="C338" s="8" t="s">
        <v>45</v>
      </c>
      <c r="D338" s="76">
        <v>88000</v>
      </c>
      <c r="E338" s="76">
        <f t="shared" si="2"/>
        <v>88015</v>
      </c>
    </row>
    <row r="339" spans="2:5" ht="15" x14ac:dyDescent="0.2">
      <c r="B339" s="8" t="s">
        <v>176</v>
      </c>
      <c r="C339" s="8" t="s">
        <v>12</v>
      </c>
      <c r="D339" s="76">
        <v>9700</v>
      </c>
      <c r="E339" s="76">
        <f t="shared" si="2"/>
        <v>9715</v>
      </c>
    </row>
    <row r="340" spans="2:5" ht="15" x14ac:dyDescent="0.2">
      <c r="B340" s="8" t="s">
        <v>178</v>
      </c>
      <c r="C340" s="8" t="s">
        <v>3</v>
      </c>
      <c r="D340" s="76">
        <v>49000</v>
      </c>
      <c r="E340" s="76">
        <f t="shared" si="2"/>
        <v>49015</v>
      </c>
    </row>
    <row r="341" spans="2:5" ht="15" x14ac:dyDescent="0.2">
      <c r="B341" s="8" t="s">
        <v>180</v>
      </c>
      <c r="C341" s="8" t="s">
        <v>6</v>
      </c>
      <c r="D341" s="76">
        <v>42000</v>
      </c>
      <c r="E341" s="76">
        <f t="shared" si="2"/>
        <v>42015</v>
      </c>
    </row>
    <row r="342" spans="2:5" ht="15" x14ac:dyDescent="0.2">
      <c r="B342" s="8" t="s">
        <v>182</v>
      </c>
      <c r="C342" s="8" t="s">
        <v>3</v>
      </c>
      <c r="D342" s="76">
        <v>56000</v>
      </c>
      <c r="E342" s="76">
        <f t="shared" si="2"/>
        <v>56015</v>
      </c>
    </row>
    <row r="343" spans="2:5" ht="15" x14ac:dyDescent="0.2">
      <c r="B343" s="8" t="s">
        <v>184</v>
      </c>
      <c r="C343" s="8" t="s">
        <v>6</v>
      </c>
      <c r="D343" s="76">
        <v>104000</v>
      </c>
      <c r="E343" s="76">
        <f t="shared" si="2"/>
        <v>104015</v>
      </c>
    </row>
    <row r="344" spans="2:5" ht="15" x14ac:dyDescent="0.2">
      <c r="B344" s="8" t="s">
        <v>186</v>
      </c>
      <c r="C344" s="8" t="s">
        <v>6</v>
      </c>
      <c r="D344" s="76">
        <v>98000</v>
      </c>
      <c r="E344" s="76">
        <f t="shared" si="2"/>
        <v>98015</v>
      </c>
    </row>
    <row r="345" spans="2:5" ht="15" x14ac:dyDescent="0.2">
      <c r="B345" s="8" t="s">
        <v>188</v>
      </c>
      <c r="C345" s="8" t="s">
        <v>12</v>
      </c>
      <c r="D345" s="76">
        <v>48000</v>
      </c>
      <c r="E345" s="76">
        <f t="shared" si="2"/>
        <v>48015</v>
      </c>
    </row>
    <row r="346" spans="2:5" ht="15" x14ac:dyDescent="0.2">
      <c r="B346" s="8" t="s">
        <v>190</v>
      </c>
      <c r="C346" s="8" t="s">
        <v>6</v>
      </c>
      <c r="D346" s="76">
        <v>136000</v>
      </c>
      <c r="E346" s="76">
        <f t="shared" si="2"/>
        <v>136015</v>
      </c>
    </row>
    <row r="347" spans="2:5" ht="15" x14ac:dyDescent="0.2">
      <c r="B347" s="8" t="s">
        <v>192</v>
      </c>
      <c r="C347" s="8" t="s">
        <v>6</v>
      </c>
      <c r="D347" s="76">
        <v>142000</v>
      </c>
      <c r="E347" s="76">
        <f t="shared" si="2"/>
        <v>142015</v>
      </c>
    </row>
    <row r="348" spans="2:5" ht="15" x14ac:dyDescent="0.2">
      <c r="B348" s="8" t="s">
        <v>194</v>
      </c>
      <c r="C348" s="8" t="s">
        <v>6</v>
      </c>
      <c r="D348" s="76">
        <v>154000</v>
      </c>
      <c r="E348" s="76">
        <f t="shared" si="2"/>
        <v>154015</v>
      </c>
    </row>
    <row r="349" spans="2:5" ht="15" x14ac:dyDescent="0.2">
      <c r="B349" s="8" t="s">
        <v>196</v>
      </c>
      <c r="C349" s="8" t="s">
        <v>6</v>
      </c>
      <c r="D349" s="76">
        <v>16000</v>
      </c>
      <c r="E349" s="76">
        <f t="shared" si="2"/>
        <v>16015</v>
      </c>
    </row>
    <row r="350" spans="2:5" ht="15" x14ac:dyDescent="0.2">
      <c r="B350" s="8" t="s">
        <v>198</v>
      </c>
      <c r="C350" s="8" t="s">
        <v>6</v>
      </c>
      <c r="D350" s="76">
        <v>118000</v>
      </c>
      <c r="E350" s="76">
        <f t="shared" si="2"/>
        <v>118015</v>
      </c>
    </row>
    <row r="351" spans="2:5" ht="15" x14ac:dyDescent="0.2">
      <c r="B351" s="8" t="s">
        <v>200</v>
      </c>
      <c r="C351" s="8" t="s">
        <v>6</v>
      </c>
      <c r="D351" s="76">
        <v>127000</v>
      </c>
      <c r="E351" s="76">
        <f t="shared" si="2"/>
        <v>127015</v>
      </c>
    </row>
    <row r="352" spans="2:5" ht="15" x14ac:dyDescent="0.2">
      <c r="B352" s="8" t="s">
        <v>202</v>
      </c>
      <c r="C352" s="8" t="s">
        <v>3</v>
      </c>
      <c r="D352" s="76">
        <v>42000</v>
      </c>
      <c r="E352" s="76">
        <f t="shared" si="2"/>
        <v>42015</v>
      </c>
    </row>
    <row r="353" spans="2:5" ht="15" x14ac:dyDescent="0.2">
      <c r="B353" s="8" t="s">
        <v>204</v>
      </c>
      <c r="C353" s="8" t="s">
        <v>6</v>
      </c>
      <c r="D353" s="76">
        <v>43000</v>
      </c>
      <c r="E353" s="76">
        <f t="shared" si="2"/>
        <v>43015</v>
      </c>
    </row>
    <row r="354" spans="2:5" ht="15" x14ac:dyDescent="0.2">
      <c r="B354" s="8" t="s">
        <v>206</v>
      </c>
      <c r="C354" s="8" t="s">
        <v>3</v>
      </c>
      <c r="D354" s="76">
        <v>13600</v>
      </c>
      <c r="E354" s="76">
        <f t="shared" si="2"/>
        <v>13615</v>
      </c>
    </row>
    <row r="355" spans="2:5" ht="15" x14ac:dyDescent="0.2">
      <c r="B355" s="8" t="s">
        <v>208</v>
      </c>
      <c r="C355" s="8" t="s">
        <v>6</v>
      </c>
      <c r="D355" s="76">
        <v>11000</v>
      </c>
      <c r="E355" s="76">
        <f t="shared" si="2"/>
        <v>11015</v>
      </c>
    </row>
    <row r="356" spans="2:5" ht="15" x14ac:dyDescent="0.2">
      <c r="B356" s="8" t="s">
        <v>210</v>
      </c>
      <c r="C356" s="8" t="s">
        <v>6</v>
      </c>
      <c r="D356" s="76">
        <v>80000</v>
      </c>
      <c r="E356" s="76">
        <f t="shared" si="2"/>
        <v>80015</v>
      </c>
    </row>
    <row r="357" spans="2:5" ht="15" x14ac:dyDescent="0.2">
      <c r="B357" s="8" t="s">
        <v>212</v>
      </c>
      <c r="C357" s="8" t="s">
        <v>6</v>
      </c>
      <c r="D357" s="76">
        <v>26000</v>
      </c>
      <c r="E357" s="76">
        <f t="shared" si="2"/>
        <v>26015</v>
      </c>
    </row>
    <row r="358" spans="2:5" ht="15" x14ac:dyDescent="0.2">
      <c r="B358" s="8" t="s">
        <v>214</v>
      </c>
      <c r="C358" s="8" t="s">
        <v>6</v>
      </c>
      <c r="D358" s="76">
        <v>23000</v>
      </c>
      <c r="E358" s="76">
        <f t="shared" si="2"/>
        <v>23015</v>
      </c>
    </row>
    <row r="359" spans="2:5" ht="15" x14ac:dyDescent="0.2">
      <c r="B359" s="8" t="s">
        <v>216</v>
      </c>
      <c r="C359" s="8" t="s">
        <v>111</v>
      </c>
      <c r="D359" s="77">
        <v>34000</v>
      </c>
      <c r="E359" s="76">
        <f t="shared" si="2"/>
        <v>34015</v>
      </c>
    </row>
    <row r="360" spans="2:5" ht="15" x14ac:dyDescent="0.2">
      <c r="B360" s="8" t="s">
        <v>114</v>
      </c>
      <c r="C360" s="8" t="s">
        <v>6</v>
      </c>
      <c r="D360" s="78">
        <v>56000</v>
      </c>
      <c r="E360" s="76">
        <f t="shared" si="2"/>
        <v>56015</v>
      </c>
    </row>
    <row r="361" spans="2:5" ht="15" x14ac:dyDescent="0.2">
      <c r="B361" s="8" t="s">
        <v>116</v>
      </c>
      <c r="C361" s="8" t="s">
        <v>3</v>
      </c>
      <c r="D361" s="78">
        <v>305000</v>
      </c>
      <c r="E361" s="76">
        <f t="shared" si="2"/>
        <v>305015</v>
      </c>
    </row>
    <row r="362" spans="2:5" ht="15" x14ac:dyDescent="0.2">
      <c r="B362" s="8" t="s">
        <v>118</v>
      </c>
      <c r="C362" s="8" t="s">
        <v>6</v>
      </c>
      <c r="D362" s="78">
        <v>63000</v>
      </c>
      <c r="E362" s="76">
        <f t="shared" si="2"/>
        <v>63015</v>
      </c>
    </row>
    <row r="363" spans="2:5" ht="15" x14ac:dyDescent="0.2">
      <c r="B363" s="8" t="s">
        <v>120</v>
      </c>
      <c r="C363" s="8" t="s">
        <v>6</v>
      </c>
      <c r="D363" s="78">
        <v>151000</v>
      </c>
      <c r="E363" s="76">
        <f t="shared" si="2"/>
        <v>151015</v>
      </c>
    </row>
    <row r="364" spans="2:5" ht="15" x14ac:dyDescent="0.2">
      <c r="B364" s="8" t="s">
        <v>122</v>
      </c>
      <c r="C364" s="8" t="s">
        <v>123</v>
      </c>
      <c r="D364" s="78">
        <v>15500</v>
      </c>
      <c r="E364" s="76">
        <f t="shared" si="2"/>
        <v>15515</v>
      </c>
    </row>
    <row r="365" spans="2:5" ht="15" x14ac:dyDescent="0.2">
      <c r="B365" s="8" t="s">
        <v>125</v>
      </c>
      <c r="C365" s="8" t="s">
        <v>3</v>
      </c>
      <c r="D365" s="78">
        <v>23500</v>
      </c>
      <c r="E365" s="76">
        <f t="shared" si="2"/>
        <v>23515</v>
      </c>
    </row>
    <row r="366" spans="2:5" ht="15" x14ac:dyDescent="0.2">
      <c r="B366" s="8" t="s">
        <v>127</v>
      </c>
      <c r="C366" s="8" t="s">
        <v>6</v>
      </c>
      <c r="D366" s="78">
        <v>39000</v>
      </c>
      <c r="E366" s="76">
        <f t="shared" si="2"/>
        <v>39015</v>
      </c>
    </row>
    <row r="367" spans="2:5" ht="15" x14ac:dyDescent="0.2">
      <c r="B367" s="8" t="s">
        <v>129</v>
      </c>
      <c r="C367" s="8" t="s">
        <v>3</v>
      </c>
      <c r="D367" s="78">
        <v>43000</v>
      </c>
      <c r="E367" s="76">
        <f t="shared" si="2"/>
        <v>43015</v>
      </c>
    </row>
    <row r="368" spans="2:5" ht="15" x14ac:dyDescent="0.2">
      <c r="B368" s="8" t="s">
        <v>131</v>
      </c>
      <c r="C368" s="8" t="s">
        <v>3</v>
      </c>
      <c r="D368" s="78">
        <v>55000</v>
      </c>
      <c r="E368" s="76">
        <f t="shared" si="2"/>
        <v>55015</v>
      </c>
    </row>
    <row r="369" spans="2:5" ht="15" x14ac:dyDescent="0.2">
      <c r="B369" s="8" t="s">
        <v>133</v>
      </c>
      <c r="C369" s="8" t="s">
        <v>6</v>
      </c>
      <c r="D369" s="78">
        <v>22000</v>
      </c>
      <c r="E369" s="76">
        <f t="shared" si="2"/>
        <v>22015</v>
      </c>
    </row>
    <row r="370" spans="2:5" ht="15" x14ac:dyDescent="0.2">
      <c r="B370" s="8" t="s">
        <v>135</v>
      </c>
      <c r="C370" s="8" t="s">
        <v>3</v>
      </c>
      <c r="D370" s="78">
        <v>29000</v>
      </c>
      <c r="E370" s="76">
        <f t="shared" si="2"/>
        <v>29015</v>
      </c>
    </row>
    <row r="371" spans="2:5" ht="15" x14ac:dyDescent="0.2">
      <c r="B371" s="8" t="s">
        <v>137</v>
      </c>
      <c r="C371" s="8" t="s">
        <v>3</v>
      </c>
      <c r="D371" s="78">
        <v>39500</v>
      </c>
      <c r="E371" s="76">
        <f t="shared" si="2"/>
        <v>39515</v>
      </c>
    </row>
    <row r="372" spans="2:5" ht="15" x14ac:dyDescent="0.2">
      <c r="B372" s="8" t="s">
        <v>139</v>
      </c>
      <c r="C372" s="8" t="s">
        <v>3</v>
      </c>
      <c r="D372" s="78">
        <v>39500</v>
      </c>
      <c r="E372" s="76">
        <f t="shared" si="2"/>
        <v>39515</v>
      </c>
    </row>
    <row r="373" spans="2:5" ht="15" x14ac:dyDescent="0.2">
      <c r="B373" s="8" t="s">
        <v>141</v>
      </c>
      <c r="C373" s="8" t="s">
        <v>6</v>
      </c>
      <c r="D373" s="78">
        <v>175000</v>
      </c>
      <c r="E373" s="76">
        <f t="shared" si="2"/>
        <v>175015</v>
      </c>
    </row>
    <row r="374" spans="2:5" ht="15" x14ac:dyDescent="0.2">
      <c r="B374" s="8" t="s">
        <v>143</v>
      </c>
      <c r="C374" s="8" t="s">
        <v>3</v>
      </c>
      <c r="D374" s="78">
        <v>138000</v>
      </c>
      <c r="E374" s="76">
        <f t="shared" si="2"/>
        <v>138015</v>
      </c>
    </row>
    <row r="375" spans="2:5" ht="15" x14ac:dyDescent="0.2">
      <c r="B375" s="8" t="s">
        <v>145</v>
      </c>
      <c r="C375" s="8" t="s">
        <v>3</v>
      </c>
      <c r="D375" s="78">
        <v>26000</v>
      </c>
      <c r="E375" s="76">
        <f t="shared" si="2"/>
        <v>26015</v>
      </c>
    </row>
    <row r="376" spans="2:5" ht="15" x14ac:dyDescent="0.2">
      <c r="B376" s="8" t="s">
        <v>147</v>
      </c>
      <c r="C376" s="8" t="s">
        <v>6</v>
      </c>
      <c r="D376" s="78">
        <v>7500</v>
      </c>
      <c r="E376" s="76">
        <f t="shared" si="2"/>
        <v>7515</v>
      </c>
    </row>
    <row r="377" spans="2:5" ht="15" x14ac:dyDescent="0.2">
      <c r="B377" s="8" t="s">
        <v>149</v>
      </c>
      <c r="C377" s="8" t="s">
        <v>6</v>
      </c>
      <c r="D377" s="78">
        <v>64000</v>
      </c>
      <c r="E377" s="76">
        <f t="shared" si="2"/>
        <v>64015</v>
      </c>
    </row>
    <row r="378" spans="2:5" ht="15" x14ac:dyDescent="0.2">
      <c r="B378" s="8" t="s">
        <v>151</v>
      </c>
      <c r="C378" s="8" t="s">
        <v>6</v>
      </c>
      <c r="D378" s="78">
        <v>90000</v>
      </c>
      <c r="E378" s="76">
        <f t="shared" si="2"/>
        <v>90015</v>
      </c>
    </row>
    <row r="379" spans="2:5" ht="15" x14ac:dyDescent="0.2">
      <c r="B379" s="8" t="s">
        <v>153</v>
      </c>
      <c r="C379" s="8" t="s">
        <v>6</v>
      </c>
      <c r="D379" s="78">
        <v>30000</v>
      </c>
      <c r="E379" s="76">
        <f t="shared" si="2"/>
        <v>30015</v>
      </c>
    </row>
    <row r="380" spans="2:5" ht="15" x14ac:dyDescent="0.2">
      <c r="B380" s="8" t="s">
        <v>155</v>
      </c>
      <c r="C380" s="8" t="s">
        <v>3</v>
      </c>
      <c r="D380" s="78">
        <v>65000</v>
      </c>
      <c r="E380" s="76">
        <f t="shared" si="2"/>
        <v>65015</v>
      </c>
    </row>
    <row r="381" spans="2:5" ht="15" x14ac:dyDescent="0.2">
      <c r="B381" s="8" t="s">
        <v>157</v>
      </c>
      <c r="C381" s="8" t="s">
        <v>37</v>
      </c>
      <c r="D381" s="78">
        <v>50000</v>
      </c>
      <c r="E381" s="76">
        <f t="shared" si="2"/>
        <v>50015</v>
      </c>
    </row>
    <row r="382" spans="2:5" ht="15" x14ac:dyDescent="0.2">
      <c r="B382" s="8" t="s">
        <v>159</v>
      </c>
      <c r="C382" s="8" t="s">
        <v>6</v>
      </c>
      <c r="D382" s="78">
        <v>33000</v>
      </c>
      <c r="E382" s="76">
        <f t="shared" si="2"/>
        <v>33015</v>
      </c>
    </row>
    <row r="383" spans="2:5" ht="15" x14ac:dyDescent="0.2">
      <c r="B383" s="8" t="s">
        <v>161</v>
      </c>
      <c r="C383" s="8" t="s">
        <v>6</v>
      </c>
      <c r="D383" s="78">
        <v>31500</v>
      </c>
      <c r="E383" s="76">
        <f t="shared" si="2"/>
        <v>31515</v>
      </c>
    </row>
    <row r="384" spans="2:5" ht="15" x14ac:dyDescent="0.2">
      <c r="B384" s="8" t="s">
        <v>163</v>
      </c>
      <c r="C384" s="8" t="s">
        <v>6</v>
      </c>
      <c r="D384" s="78">
        <v>23000</v>
      </c>
      <c r="E384" s="76">
        <f t="shared" si="2"/>
        <v>23015</v>
      </c>
    </row>
    <row r="385" spans="2:5" ht="15" x14ac:dyDescent="0.2">
      <c r="B385" s="8" t="s">
        <v>165</v>
      </c>
      <c r="C385" s="8" t="s">
        <v>3</v>
      </c>
      <c r="D385" s="78">
        <v>8500</v>
      </c>
      <c r="E385" s="76">
        <f t="shared" si="2"/>
        <v>8515</v>
      </c>
    </row>
    <row r="386" spans="2:5" ht="15" x14ac:dyDescent="0.2">
      <c r="B386" s="8" t="s">
        <v>167</v>
      </c>
      <c r="C386" s="8" t="s">
        <v>3</v>
      </c>
      <c r="D386" s="78">
        <v>40000</v>
      </c>
      <c r="E386" s="76">
        <f t="shared" si="2"/>
        <v>40015</v>
      </c>
    </row>
    <row r="387" spans="2:5" ht="15" x14ac:dyDescent="0.2">
      <c r="B387" s="8" t="s">
        <v>169</v>
      </c>
      <c r="C387" s="8" t="s">
        <v>6</v>
      </c>
      <c r="D387" s="78">
        <v>13500</v>
      </c>
      <c r="E387" s="76">
        <f t="shared" si="2"/>
        <v>13515</v>
      </c>
    </row>
    <row r="388" spans="2:5" ht="15" x14ac:dyDescent="0.2">
      <c r="B388" s="8" t="s">
        <v>171</v>
      </c>
      <c r="C388" s="8" t="s">
        <v>3</v>
      </c>
      <c r="D388" s="78">
        <v>30000</v>
      </c>
      <c r="E388" s="76">
        <f t="shared" si="2"/>
        <v>30015</v>
      </c>
    </row>
    <row r="389" spans="2:5" ht="15" x14ac:dyDescent="0.2">
      <c r="B389" s="8" t="s">
        <v>173</v>
      </c>
      <c r="C389" s="8" t="s">
        <v>6</v>
      </c>
      <c r="D389" s="78">
        <v>11000</v>
      </c>
      <c r="E389" s="76">
        <f t="shared" si="2"/>
        <v>11015</v>
      </c>
    </row>
    <row r="390" spans="2:5" ht="15" x14ac:dyDescent="0.2">
      <c r="B390" s="8" t="s">
        <v>175</v>
      </c>
      <c r="C390" s="8" t="s">
        <v>6</v>
      </c>
      <c r="D390" s="78">
        <v>12000</v>
      </c>
      <c r="E390" s="76">
        <f t="shared" si="2"/>
        <v>12015</v>
      </c>
    </row>
    <row r="391" spans="2:5" ht="15" x14ac:dyDescent="0.2">
      <c r="B391" s="8" t="s">
        <v>177</v>
      </c>
      <c r="C391" s="8" t="s">
        <v>6</v>
      </c>
      <c r="D391" s="78">
        <v>17000</v>
      </c>
      <c r="E391" s="76">
        <f t="shared" si="2"/>
        <v>17015</v>
      </c>
    </row>
    <row r="392" spans="2:5" ht="15" x14ac:dyDescent="0.2">
      <c r="B392" s="8" t="s">
        <v>179</v>
      </c>
      <c r="C392" s="8" t="s">
        <v>6</v>
      </c>
      <c r="D392" s="78">
        <v>13500</v>
      </c>
      <c r="E392" s="76">
        <f t="shared" si="2"/>
        <v>13515</v>
      </c>
    </row>
    <row r="393" spans="2:5" ht="15" x14ac:dyDescent="0.2">
      <c r="B393" s="8" t="s">
        <v>181</v>
      </c>
      <c r="C393" s="8" t="s">
        <v>37</v>
      </c>
      <c r="D393" s="78">
        <v>80000</v>
      </c>
      <c r="E393" s="76">
        <f t="shared" si="2"/>
        <v>80015</v>
      </c>
    </row>
    <row r="394" spans="2:5" ht="15" x14ac:dyDescent="0.2">
      <c r="B394" s="74"/>
      <c r="C394" s="74"/>
      <c r="D394" s="78"/>
      <c r="E394" s="76"/>
    </row>
    <row r="395" spans="2:5" ht="15" x14ac:dyDescent="0.2">
      <c r="B395" s="74"/>
      <c r="C395" s="74"/>
      <c r="D395" s="78"/>
      <c r="E395" s="76"/>
    </row>
    <row r="396" spans="2:5" ht="15" x14ac:dyDescent="0.2">
      <c r="B396" s="74"/>
      <c r="C396" s="74"/>
      <c r="D396" s="78"/>
      <c r="E396" s="76"/>
    </row>
    <row r="397" spans="2:5" ht="15" x14ac:dyDescent="0.2">
      <c r="B397" s="74"/>
      <c r="C397" s="74"/>
      <c r="D397" s="78"/>
      <c r="E397" s="76"/>
    </row>
    <row r="398" spans="2:5" ht="15" x14ac:dyDescent="0.2">
      <c r="B398" s="74"/>
      <c r="C398" s="74"/>
      <c r="D398" s="78"/>
      <c r="E398" s="76"/>
    </row>
    <row r="399" spans="2:5" ht="15" x14ac:dyDescent="0.2">
      <c r="B399" s="74"/>
      <c r="C399" s="74"/>
      <c r="D399" s="78"/>
      <c r="E399" s="76"/>
    </row>
    <row r="400" spans="2:5" ht="15" x14ac:dyDescent="0.2">
      <c r="B400" s="74"/>
      <c r="C400" s="74"/>
      <c r="D400" s="78"/>
      <c r="E400" s="76"/>
    </row>
    <row r="401" spans="2:5" ht="15" x14ac:dyDescent="0.2">
      <c r="B401" s="74"/>
      <c r="C401" s="74"/>
      <c r="D401" s="78"/>
      <c r="E401" s="76"/>
    </row>
    <row r="402" spans="2:5" ht="15" x14ac:dyDescent="0.2">
      <c r="B402" s="74"/>
      <c r="C402" s="74"/>
      <c r="D402" s="78"/>
      <c r="E402" s="76"/>
    </row>
    <row r="403" spans="2:5" ht="15" x14ac:dyDescent="0.2">
      <c r="B403" s="74"/>
      <c r="C403" s="74"/>
      <c r="D403" s="78"/>
      <c r="E403" s="76"/>
    </row>
    <row r="404" spans="2:5" ht="15" x14ac:dyDescent="0.2">
      <c r="B404" s="74"/>
      <c r="C404" s="74"/>
      <c r="D404" s="78"/>
      <c r="E404" s="76"/>
    </row>
    <row r="405" spans="2:5" ht="15" x14ac:dyDescent="0.2">
      <c r="B405" s="74"/>
      <c r="C405" s="74"/>
      <c r="D405" s="78"/>
      <c r="E405" s="76"/>
    </row>
    <row r="406" spans="2:5" ht="15" x14ac:dyDescent="0.2">
      <c r="B406" s="74"/>
      <c r="C406" s="74"/>
      <c r="D406" s="78"/>
      <c r="E406" s="76"/>
    </row>
    <row r="407" spans="2:5" ht="15" x14ac:dyDescent="0.2">
      <c r="B407" s="74"/>
      <c r="C407" s="74"/>
      <c r="D407" s="78"/>
      <c r="E407" s="76"/>
    </row>
    <row r="408" spans="2:5" ht="15" x14ac:dyDescent="0.2">
      <c r="B408" s="74"/>
      <c r="C408" s="74"/>
      <c r="D408" s="78"/>
      <c r="E408" s="76"/>
    </row>
    <row r="409" spans="2:5" ht="15" x14ac:dyDescent="0.2">
      <c r="B409" s="74"/>
      <c r="C409" s="74"/>
      <c r="D409" s="78"/>
      <c r="E409" s="76"/>
    </row>
    <row r="410" spans="2:5" ht="15" x14ac:dyDescent="0.2">
      <c r="B410" s="74"/>
      <c r="C410" s="74"/>
      <c r="D410" s="78"/>
      <c r="E410" s="76"/>
    </row>
    <row r="411" spans="2:5" ht="15" x14ac:dyDescent="0.2">
      <c r="B411" s="74"/>
      <c r="C411" s="74"/>
      <c r="D411" s="78"/>
      <c r="E411" s="76"/>
    </row>
    <row r="412" spans="2:5" ht="15" x14ac:dyDescent="0.2">
      <c r="B412" s="74"/>
      <c r="C412" s="74"/>
      <c r="D412" s="78"/>
      <c r="E412" s="76"/>
    </row>
    <row r="413" spans="2:5" ht="15" x14ac:dyDescent="0.2">
      <c r="B413" s="74"/>
      <c r="C413" s="74"/>
      <c r="D413" s="78"/>
      <c r="E413" s="76"/>
    </row>
    <row r="414" spans="2:5" ht="15" x14ac:dyDescent="0.2">
      <c r="B414" s="74"/>
      <c r="C414" s="74"/>
      <c r="D414" s="78"/>
      <c r="E414" s="76"/>
    </row>
    <row r="415" spans="2:5" ht="15" x14ac:dyDescent="0.2">
      <c r="B415" s="74"/>
      <c r="C415" s="74"/>
      <c r="D415" s="78"/>
      <c r="E415" s="76"/>
    </row>
    <row r="416" spans="2:5" ht="15" x14ac:dyDescent="0.2">
      <c r="B416" s="74"/>
      <c r="C416" s="74"/>
      <c r="D416" s="78"/>
      <c r="E416" s="76"/>
    </row>
    <row r="417" spans="2:5" ht="15" x14ac:dyDescent="0.2">
      <c r="B417" s="74"/>
      <c r="C417" s="74"/>
      <c r="D417" s="78"/>
      <c r="E417" s="76"/>
    </row>
    <row r="418" spans="2:5" ht="15" x14ac:dyDescent="0.2">
      <c r="B418" s="74"/>
      <c r="C418" s="74"/>
      <c r="D418" s="78"/>
      <c r="E418" s="76"/>
    </row>
    <row r="419" spans="2:5" ht="15" x14ac:dyDescent="0.2">
      <c r="B419" s="74"/>
      <c r="C419" s="74"/>
      <c r="D419" s="78"/>
      <c r="E419" s="76"/>
    </row>
    <row r="420" spans="2:5" ht="15" x14ac:dyDescent="0.2">
      <c r="B420" s="74"/>
      <c r="C420" s="74"/>
      <c r="D420" s="78"/>
      <c r="E420" s="76"/>
    </row>
    <row r="421" spans="2:5" ht="15" x14ac:dyDescent="0.2">
      <c r="B421" s="74"/>
      <c r="C421" s="74"/>
      <c r="D421" s="78"/>
      <c r="E421" s="76"/>
    </row>
    <row r="422" spans="2:5" ht="15" x14ac:dyDescent="0.2">
      <c r="B422" s="74"/>
      <c r="C422" s="74"/>
      <c r="D422" s="78"/>
      <c r="E422" s="76"/>
    </row>
    <row r="423" spans="2:5" ht="15" x14ac:dyDescent="0.2">
      <c r="B423" s="74"/>
      <c r="C423" s="74"/>
      <c r="D423" s="78"/>
      <c r="E423" s="76"/>
    </row>
    <row r="424" spans="2:5" ht="15" x14ac:dyDescent="0.2">
      <c r="B424" s="74"/>
      <c r="C424" s="74"/>
      <c r="D424" s="78"/>
      <c r="E424" s="76"/>
    </row>
    <row r="425" spans="2:5" ht="15" x14ac:dyDescent="0.2">
      <c r="B425" s="74"/>
      <c r="C425" s="74"/>
      <c r="D425" s="78"/>
      <c r="E425" s="76"/>
    </row>
    <row r="426" spans="2:5" ht="15" x14ac:dyDescent="0.2">
      <c r="B426" s="74"/>
      <c r="C426" s="74"/>
      <c r="D426" s="78"/>
      <c r="E426" s="76"/>
    </row>
    <row r="427" spans="2:5" ht="15" x14ac:dyDescent="0.2">
      <c r="B427" s="74"/>
      <c r="C427" s="74"/>
      <c r="D427" s="78"/>
      <c r="E427" s="76"/>
    </row>
    <row r="428" spans="2:5" ht="15" x14ac:dyDescent="0.2">
      <c r="B428" s="74"/>
      <c r="C428" s="74"/>
      <c r="D428" s="78"/>
      <c r="E428" s="76"/>
    </row>
    <row r="429" spans="2:5" ht="15" x14ac:dyDescent="0.2">
      <c r="B429" s="74"/>
      <c r="C429" s="74"/>
      <c r="D429" s="78"/>
      <c r="E429" s="76"/>
    </row>
    <row r="430" spans="2:5" ht="15" x14ac:dyDescent="0.2">
      <c r="B430" s="74"/>
      <c r="C430" s="74"/>
      <c r="D430" s="78"/>
      <c r="E430" s="76"/>
    </row>
    <row r="431" spans="2:5" ht="15" x14ac:dyDescent="0.2">
      <c r="B431" s="74"/>
      <c r="C431" s="74"/>
      <c r="D431" s="78"/>
      <c r="E431" s="76"/>
    </row>
    <row r="432" spans="2:5" ht="15" x14ac:dyDescent="0.2">
      <c r="B432" s="74"/>
      <c r="C432" s="74"/>
      <c r="D432" s="78"/>
      <c r="E432" s="76"/>
    </row>
    <row r="433" spans="2:5" ht="15" x14ac:dyDescent="0.2">
      <c r="B433" s="74"/>
      <c r="C433" s="74"/>
      <c r="D433" s="78"/>
      <c r="E433" s="76"/>
    </row>
    <row r="434" spans="2:5" ht="15" x14ac:dyDescent="0.2">
      <c r="B434" s="74"/>
      <c r="C434" s="74"/>
      <c r="D434" s="78"/>
      <c r="E434" s="76"/>
    </row>
    <row r="435" spans="2:5" ht="15" x14ac:dyDescent="0.2">
      <c r="B435" s="74"/>
      <c r="C435" s="74"/>
      <c r="D435" s="78"/>
      <c r="E435" s="76"/>
    </row>
    <row r="436" spans="2:5" ht="15" x14ac:dyDescent="0.2">
      <c r="B436" s="74"/>
      <c r="C436" s="74"/>
      <c r="D436" s="78"/>
      <c r="E436" s="76"/>
    </row>
    <row r="437" spans="2:5" ht="15" x14ac:dyDescent="0.2">
      <c r="B437" s="74"/>
      <c r="C437" s="74"/>
      <c r="D437" s="78"/>
      <c r="E437" s="76"/>
    </row>
    <row r="438" spans="2:5" ht="15" x14ac:dyDescent="0.2">
      <c r="B438" s="74"/>
      <c r="C438" s="74"/>
      <c r="D438" s="78"/>
      <c r="E438" s="76"/>
    </row>
    <row r="439" spans="2:5" ht="15" x14ac:dyDescent="0.2">
      <c r="B439" s="74"/>
      <c r="C439" s="74"/>
      <c r="D439" s="78"/>
      <c r="E439" s="76"/>
    </row>
    <row r="440" spans="2:5" ht="15" x14ac:dyDescent="0.2">
      <c r="B440" s="74"/>
      <c r="C440" s="74"/>
      <c r="D440" s="78"/>
      <c r="E440" s="76"/>
    </row>
    <row r="441" spans="2:5" ht="15" x14ac:dyDescent="0.2">
      <c r="B441" s="74"/>
      <c r="C441" s="74"/>
      <c r="D441" s="78"/>
      <c r="E441" s="76"/>
    </row>
    <row r="442" spans="2:5" ht="15" x14ac:dyDescent="0.2">
      <c r="B442" s="74"/>
      <c r="C442" s="74"/>
      <c r="D442" s="78"/>
      <c r="E442" s="76"/>
    </row>
    <row r="443" spans="2:5" ht="15" x14ac:dyDescent="0.2">
      <c r="B443" s="74"/>
      <c r="C443" s="74"/>
      <c r="D443" s="78"/>
      <c r="E443" s="76"/>
    </row>
    <row r="444" spans="2:5" ht="15" x14ac:dyDescent="0.2">
      <c r="B444" s="74"/>
      <c r="C444" s="74"/>
      <c r="D444" s="78"/>
      <c r="E444" s="76"/>
    </row>
    <row r="445" spans="2:5" ht="15" x14ac:dyDescent="0.2">
      <c r="B445" s="74"/>
      <c r="C445" s="74"/>
      <c r="D445" s="78"/>
      <c r="E445" s="76"/>
    </row>
    <row r="446" spans="2:5" ht="15" x14ac:dyDescent="0.2">
      <c r="B446" s="74"/>
      <c r="C446" s="74"/>
      <c r="D446" s="78"/>
      <c r="E446" s="76"/>
    </row>
    <row r="447" spans="2:5" ht="15" x14ac:dyDescent="0.2">
      <c r="B447" s="74"/>
      <c r="C447" s="74"/>
      <c r="D447" s="78"/>
      <c r="E447" s="76"/>
    </row>
    <row r="448" spans="2:5" ht="15" x14ac:dyDescent="0.2">
      <c r="B448" s="74"/>
      <c r="C448" s="74"/>
      <c r="D448" s="78"/>
      <c r="E448" s="76"/>
    </row>
    <row r="449" spans="2:5" ht="15" x14ac:dyDescent="0.2">
      <c r="B449" s="74"/>
      <c r="C449" s="74"/>
      <c r="D449" s="78"/>
      <c r="E449" s="76"/>
    </row>
    <row r="450" spans="2:5" ht="15" x14ac:dyDescent="0.2">
      <c r="B450" s="74"/>
      <c r="C450" s="74"/>
      <c r="D450" s="78"/>
      <c r="E450" s="76"/>
    </row>
    <row r="451" spans="2:5" ht="15" x14ac:dyDescent="0.2">
      <c r="B451" s="74"/>
      <c r="C451" s="74"/>
      <c r="D451" s="78"/>
      <c r="E451" s="76"/>
    </row>
    <row r="452" spans="2:5" ht="15" x14ac:dyDescent="0.2">
      <c r="B452" s="74"/>
      <c r="C452" s="74"/>
      <c r="D452" s="78"/>
      <c r="E452" s="76"/>
    </row>
    <row r="453" spans="2:5" ht="15" x14ac:dyDescent="0.2">
      <c r="B453" s="74"/>
      <c r="C453" s="74"/>
      <c r="D453" s="78"/>
      <c r="E453" s="76"/>
    </row>
    <row r="454" spans="2:5" ht="15" x14ac:dyDescent="0.2">
      <c r="B454" s="74"/>
      <c r="C454" s="74"/>
      <c r="D454" s="78"/>
      <c r="E454" s="76"/>
    </row>
    <row r="455" spans="2:5" ht="15" x14ac:dyDescent="0.2">
      <c r="B455" s="74"/>
      <c r="C455" s="74"/>
      <c r="D455" s="78"/>
      <c r="E455" s="76"/>
    </row>
    <row r="456" spans="2:5" ht="15" x14ac:dyDescent="0.2">
      <c r="B456" s="74"/>
      <c r="C456" s="74"/>
      <c r="D456" s="78"/>
      <c r="E456" s="76"/>
    </row>
    <row r="457" spans="2:5" ht="15" x14ac:dyDescent="0.2">
      <c r="B457" s="74"/>
      <c r="C457" s="74"/>
      <c r="D457" s="78"/>
      <c r="E457" s="76"/>
    </row>
    <row r="458" spans="2:5" ht="15" x14ac:dyDescent="0.2">
      <c r="B458" s="74"/>
      <c r="C458" s="74"/>
      <c r="D458" s="78"/>
      <c r="E458" s="76"/>
    </row>
    <row r="459" spans="2:5" ht="15" x14ac:dyDescent="0.2">
      <c r="B459" s="74"/>
      <c r="C459" s="74"/>
      <c r="D459" s="78"/>
      <c r="E459" s="76"/>
    </row>
    <row r="460" spans="2:5" ht="15" x14ac:dyDescent="0.2">
      <c r="B460" s="74"/>
      <c r="C460" s="74"/>
      <c r="D460" s="78"/>
      <c r="E460" s="76"/>
    </row>
    <row r="461" spans="2:5" ht="15" x14ac:dyDescent="0.2">
      <c r="B461" s="74"/>
      <c r="C461" s="74"/>
      <c r="D461" s="78"/>
      <c r="E461" s="76"/>
    </row>
    <row r="462" spans="2:5" ht="15" x14ac:dyDescent="0.2">
      <c r="B462" s="74"/>
      <c r="C462" s="74"/>
      <c r="D462" s="78"/>
      <c r="E462" s="76"/>
    </row>
    <row r="463" spans="2:5" ht="15" x14ac:dyDescent="0.2">
      <c r="B463" s="74"/>
      <c r="C463" s="74"/>
      <c r="D463" s="78"/>
      <c r="E463" s="76"/>
    </row>
    <row r="464" spans="2:5" ht="15" x14ac:dyDescent="0.2">
      <c r="B464" s="74"/>
      <c r="C464" s="74"/>
      <c r="D464" s="78"/>
      <c r="E464" s="76"/>
    </row>
    <row r="465" spans="2:5" ht="15" x14ac:dyDescent="0.2">
      <c r="B465" s="74"/>
      <c r="C465" s="74"/>
      <c r="D465" s="78"/>
      <c r="E465" s="76"/>
    </row>
    <row r="466" spans="2:5" ht="15" x14ac:dyDescent="0.2">
      <c r="B466" s="74"/>
      <c r="C466" s="74"/>
      <c r="D466" s="78"/>
      <c r="E466" s="76"/>
    </row>
    <row r="467" spans="2:5" ht="15" x14ac:dyDescent="0.2">
      <c r="B467" s="74"/>
      <c r="C467" s="74"/>
      <c r="D467" s="78"/>
      <c r="E467" s="76"/>
    </row>
    <row r="468" spans="2:5" ht="15" x14ac:dyDescent="0.2">
      <c r="B468" s="74"/>
      <c r="C468" s="74"/>
      <c r="D468" s="78"/>
      <c r="E468" s="76"/>
    </row>
    <row r="469" spans="2:5" ht="15" x14ac:dyDescent="0.2">
      <c r="B469" s="74"/>
      <c r="C469" s="74"/>
      <c r="D469" s="78"/>
      <c r="E469" s="76"/>
    </row>
    <row r="470" spans="2:5" ht="15" x14ac:dyDescent="0.2">
      <c r="B470" s="74"/>
      <c r="C470" s="74"/>
      <c r="D470" s="78"/>
      <c r="E470" s="76"/>
    </row>
    <row r="471" spans="2:5" ht="15" x14ac:dyDescent="0.2">
      <c r="B471" s="74"/>
      <c r="C471" s="74"/>
      <c r="D471" s="78"/>
      <c r="E471" s="76"/>
    </row>
    <row r="472" spans="2:5" ht="15" x14ac:dyDescent="0.2">
      <c r="B472" s="74"/>
      <c r="C472" s="74"/>
      <c r="D472" s="78"/>
      <c r="E472" s="76"/>
    </row>
    <row r="473" spans="2:5" ht="15" x14ac:dyDescent="0.2">
      <c r="B473" s="74"/>
      <c r="C473" s="74"/>
      <c r="D473" s="78"/>
      <c r="E473" s="76"/>
    </row>
    <row r="474" spans="2:5" ht="15" x14ac:dyDescent="0.2">
      <c r="B474" s="74"/>
      <c r="C474" s="74"/>
      <c r="D474" s="78"/>
      <c r="E474" s="76"/>
    </row>
    <row r="475" spans="2:5" ht="15" x14ac:dyDescent="0.2">
      <c r="B475" s="74"/>
      <c r="C475" s="74"/>
      <c r="D475" s="78"/>
      <c r="E475" s="76"/>
    </row>
    <row r="476" spans="2:5" ht="15" x14ac:dyDescent="0.2">
      <c r="B476" s="74"/>
      <c r="C476" s="74"/>
      <c r="D476" s="78"/>
      <c r="E476" s="76"/>
    </row>
    <row r="477" spans="2:5" ht="15" x14ac:dyDescent="0.2">
      <c r="B477" s="74"/>
      <c r="C477" s="74"/>
      <c r="D477" s="78"/>
      <c r="E477" s="76"/>
    </row>
    <row r="478" spans="2:5" ht="15" x14ac:dyDescent="0.2">
      <c r="B478" s="74"/>
      <c r="C478" s="74"/>
      <c r="D478" s="78"/>
      <c r="E478" s="76"/>
    </row>
    <row r="479" spans="2:5" ht="15" x14ac:dyDescent="0.2">
      <c r="B479" s="74"/>
      <c r="C479" s="74"/>
      <c r="D479" s="78"/>
      <c r="E479" s="76"/>
    </row>
    <row r="480" spans="2:5" ht="15" x14ac:dyDescent="0.2">
      <c r="B480" s="74"/>
      <c r="C480" s="74"/>
      <c r="D480" s="78"/>
      <c r="E480" s="76"/>
    </row>
    <row r="481" spans="1:5" ht="15" x14ac:dyDescent="0.2">
      <c r="B481" s="74"/>
      <c r="C481" s="74"/>
      <c r="D481" s="78"/>
      <c r="E481" s="76"/>
    </row>
    <row r="482" spans="1:5" ht="15" x14ac:dyDescent="0.2">
      <c r="B482" s="74"/>
      <c r="C482" s="74"/>
      <c r="D482" s="78"/>
      <c r="E482" s="76"/>
    </row>
    <row r="483" spans="1:5" ht="15" x14ac:dyDescent="0.2">
      <c r="B483" s="74"/>
      <c r="C483" s="74"/>
      <c r="D483" s="78"/>
      <c r="E483" s="76"/>
    </row>
    <row r="484" spans="1:5" ht="15" x14ac:dyDescent="0.2">
      <c r="B484" s="74"/>
      <c r="C484" s="74"/>
      <c r="D484" s="78"/>
      <c r="E484" s="76"/>
    </row>
    <row r="485" spans="1:5" ht="15" x14ac:dyDescent="0.2">
      <c r="B485" s="74"/>
      <c r="C485" s="74"/>
      <c r="D485" s="78"/>
      <c r="E485" s="76"/>
    </row>
    <row r="486" spans="1:5" ht="15" x14ac:dyDescent="0.2">
      <c r="B486" s="74"/>
      <c r="C486" s="74"/>
      <c r="D486" s="78"/>
      <c r="E486" s="76"/>
    </row>
    <row r="487" spans="1:5" ht="15" x14ac:dyDescent="0.2">
      <c r="B487" s="74"/>
      <c r="C487" s="74"/>
      <c r="D487" s="78"/>
      <c r="E487" s="76"/>
    </row>
    <row r="488" spans="1:5" ht="15" x14ac:dyDescent="0.2">
      <c r="B488" s="74"/>
      <c r="C488" s="74"/>
      <c r="D488" s="78"/>
      <c r="E488" s="76"/>
    </row>
    <row r="489" spans="1:5" ht="15" x14ac:dyDescent="0.2">
      <c r="B489" s="74"/>
      <c r="C489" s="74"/>
      <c r="D489" s="78"/>
      <c r="E489" s="76"/>
    </row>
    <row r="490" spans="1:5" ht="15" x14ac:dyDescent="0.2">
      <c r="B490" s="74"/>
      <c r="C490" s="74"/>
      <c r="D490" s="78"/>
      <c r="E490" s="76"/>
    </row>
    <row r="491" spans="1:5" ht="15" x14ac:dyDescent="0.2">
      <c r="B491" s="74"/>
      <c r="C491" s="74"/>
      <c r="D491" s="78"/>
      <c r="E491" s="76"/>
    </row>
    <row r="492" spans="1:5" ht="15" x14ac:dyDescent="0.2">
      <c r="B492" s="74"/>
      <c r="C492" s="74"/>
      <c r="D492" s="78"/>
      <c r="E492" s="76"/>
    </row>
    <row r="493" spans="1:5" ht="15" x14ac:dyDescent="0.2">
      <c r="B493" s="74"/>
      <c r="C493" s="74"/>
      <c r="D493" s="78"/>
      <c r="E493" s="76"/>
    </row>
    <row r="494" spans="1:5" ht="15" x14ac:dyDescent="0.2">
      <c r="B494" s="8"/>
      <c r="C494" s="8"/>
      <c r="D494" s="78"/>
      <c r="E494" s="76"/>
    </row>
    <row r="495" spans="1:5" ht="15" x14ac:dyDescent="0.2">
      <c r="A495" s="53" t="s">
        <v>2429</v>
      </c>
      <c r="B495" s="8" t="s">
        <v>183</v>
      </c>
      <c r="C495" s="8" t="s">
        <v>45</v>
      </c>
      <c r="D495" s="78">
        <v>14000</v>
      </c>
      <c r="E495" s="76">
        <f t="shared" ref="E495:E558" si="3">D495+15</f>
        <v>14015</v>
      </c>
    </row>
    <row r="496" spans="1:5" ht="15" x14ac:dyDescent="0.2">
      <c r="B496" s="8" t="s">
        <v>185</v>
      </c>
      <c r="C496" s="8" t="s">
        <v>6</v>
      </c>
      <c r="D496" s="78">
        <v>55900</v>
      </c>
      <c r="E496" s="76">
        <f t="shared" si="3"/>
        <v>55915</v>
      </c>
    </row>
    <row r="497" spans="2:5" ht="15" x14ac:dyDescent="0.2">
      <c r="B497" s="8" t="s">
        <v>187</v>
      </c>
      <c r="C497" s="8" t="s">
        <v>3</v>
      </c>
      <c r="D497" s="78">
        <v>18000</v>
      </c>
      <c r="E497" s="76">
        <f t="shared" si="3"/>
        <v>18015</v>
      </c>
    </row>
    <row r="498" spans="2:5" ht="15" x14ac:dyDescent="0.2">
      <c r="B498" s="8" t="s">
        <v>189</v>
      </c>
      <c r="C498" s="8" t="s">
        <v>12</v>
      </c>
      <c r="D498" s="78">
        <v>15000</v>
      </c>
      <c r="E498" s="76">
        <f t="shared" si="3"/>
        <v>15015</v>
      </c>
    </row>
    <row r="499" spans="2:5" ht="15" x14ac:dyDescent="0.2">
      <c r="B499" s="8" t="s">
        <v>191</v>
      </c>
      <c r="C499" s="8" t="s">
        <v>3</v>
      </c>
      <c r="D499" s="78">
        <v>24000</v>
      </c>
      <c r="E499" s="76">
        <f t="shared" si="3"/>
        <v>24015</v>
      </c>
    </row>
    <row r="500" spans="2:5" ht="15" x14ac:dyDescent="0.2">
      <c r="B500" s="8" t="s">
        <v>193</v>
      </c>
      <c r="C500" s="8" t="s">
        <v>3</v>
      </c>
      <c r="D500" s="78">
        <v>38000</v>
      </c>
      <c r="E500" s="76">
        <f t="shared" si="3"/>
        <v>38015</v>
      </c>
    </row>
    <row r="501" spans="2:5" ht="15" x14ac:dyDescent="0.2">
      <c r="B501" s="8" t="s">
        <v>195</v>
      </c>
      <c r="C501" s="8" t="s">
        <v>6</v>
      </c>
      <c r="D501" s="78">
        <v>32000</v>
      </c>
      <c r="E501" s="76">
        <f t="shared" si="3"/>
        <v>32015</v>
      </c>
    </row>
    <row r="502" spans="2:5" ht="15" x14ac:dyDescent="0.2">
      <c r="B502" s="8" t="s">
        <v>197</v>
      </c>
      <c r="C502" s="8" t="s">
        <v>6</v>
      </c>
      <c r="D502" s="78">
        <v>30000</v>
      </c>
      <c r="E502" s="76">
        <f t="shared" si="3"/>
        <v>30015</v>
      </c>
    </row>
    <row r="503" spans="2:5" ht="15" x14ac:dyDescent="0.2">
      <c r="B503" s="8" t="s">
        <v>199</v>
      </c>
      <c r="C503" s="8" t="s">
        <v>6</v>
      </c>
      <c r="D503" s="78">
        <v>64000</v>
      </c>
      <c r="E503" s="76">
        <f t="shared" si="3"/>
        <v>64015</v>
      </c>
    </row>
    <row r="504" spans="2:5" ht="15" x14ac:dyDescent="0.2">
      <c r="B504" s="8" t="s">
        <v>201</v>
      </c>
      <c r="C504" s="8" t="s">
        <v>3</v>
      </c>
      <c r="D504" s="78">
        <v>30000</v>
      </c>
      <c r="E504" s="76">
        <f t="shared" si="3"/>
        <v>30015</v>
      </c>
    </row>
    <row r="505" spans="2:5" ht="15" x14ac:dyDescent="0.2">
      <c r="B505" s="8" t="s">
        <v>203</v>
      </c>
      <c r="C505" s="8" t="s">
        <v>3</v>
      </c>
      <c r="D505" s="78">
        <v>123000</v>
      </c>
      <c r="E505" s="76">
        <f t="shared" si="3"/>
        <v>123015</v>
      </c>
    </row>
    <row r="506" spans="2:5" ht="15" x14ac:dyDescent="0.2">
      <c r="B506" s="8" t="s">
        <v>205</v>
      </c>
      <c r="C506" s="8" t="s">
        <v>6</v>
      </c>
      <c r="D506" s="78">
        <v>67000</v>
      </c>
      <c r="E506" s="76">
        <f t="shared" si="3"/>
        <v>67015</v>
      </c>
    </row>
    <row r="507" spans="2:5" ht="15" x14ac:dyDescent="0.2">
      <c r="B507" s="8" t="s">
        <v>207</v>
      </c>
      <c r="C507" s="8" t="s">
        <v>6</v>
      </c>
      <c r="D507" s="78">
        <v>14000</v>
      </c>
      <c r="E507" s="76">
        <f t="shared" si="3"/>
        <v>14015</v>
      </c>
    </row>
    <row r="508" spans="2:5" ht="15" x14ac:dyDescent="0.2">
      <c r="B508" s="8" t="s">
        <v>209</v>
      </c>
      <c r="C508" s="8" t="s">
        <v>3</v>
      </c>
      <c r="D508" s="78">
        <v>34200</v>
      </c>
      <c r="E508" s="76">
        <f t="shared" si="3"/>
        <v>34215</v>
      </c>
    </row>
    <row r="509" spans="2:5" ht="15" x14ac:dyDescent="0.2">
      <c r="B509" s="8" t="s">
        <v>211</v>
      </c>
      <c r="C509" s="8" t="s">
        <v>3</v>
      </c>
      <c r="D509" s="78">
        <v>23000</v>
      </c>
      <c r="E509" s="76">
        <f t="shared" si="3"/>
        <v>23015</v>
      </c>
    </row>
    <row r="510" spans="2:5" ht="15" x14ac:dyDescent="0.2">
      <c r="B510" s="8" t="s">
        <v>213</v>
      </c>
      <c r="C510" s="8" t="s">
        <v>6</v>
      </c>
      <c r="D510" s="78">
        <v>35000</v>
      </c>
      <c r="E510" s="76">
        <f t="shared" si="3"/>
        <v>35015</v>
      </c>
    </row>
    <row r="511" spans="2:5" ht="15" x14ac:dyDescent="0.2">
      <c r="B511" s="8" t="s">
        <v>215</v>
      </c>
      <c r="C511" s="8" t="s">
        <v>6</v>
      </c>
      <c r="D511" s="78">
        <v>25000</v>
      </c>
      <c r="E511" s="76">
        <f t="shared" si="3"/>
        <v>25015</v>
      </c>
    </row>
    <row r="512" spans="2:5" ht="15" x14ac:dyDescent="0.2">
      <c r="B512" s="8" t="s">
        <v>217</v>
      </c>
      <c r="C512" s="8" t="s">
        <v>218</v>
      </c>
      <c r="D512" s="79">
        <v>46000</v>
      </c>
      <c r="E512" s="76">
        <f t="shared" si="3"/>
        <v>46015</v>
      </c>
    </row>
    <row r="513" spans="2:5" ht="15" x14ac:dyDescent="0.2">
      <c r="B513" s="8" t="s">
        <v>219</v>
      </c>
      <c r="C513" s="8" t="s">
        <v>12</v>
      </c>
      <c r="D513" s="76">
        <v>44000</v>
      </c>
      <c r="E513" s="76">
        <f t="shared" si="3"/>
        <v>44015</v>
      </c>
    </row>
    <row r="514" spans="2:5" ht="15" x14ac:dyDescent="0.2">
      <c r="B514" s="8" t="s">
        <v>221</v>
      </c>
      <c r="C514" s="8" t="s">
        <v>3</v>
      </c>
      <c r="D514" s="76">
        <v>27000</v>
      </c>
      <c r="E514" s="76">
        <f t="shared" si="3"/>
        <v>27015</v>
      </c>
    </row>
    <row r="515" spans="2:5" ht="15" x14ac:dyDescent="0.2">
      <c r="B515" s="8" t="s">
        <v>223</v>
      </c>
      <c r="C515" s="8" t="s">
        <v>6</v>
      </c>
      <c r="D515" s="76">
        <v>19000</v>
      </c>
      <c r="E515" s="76">
        <f t="shared" si="3"/>
        <v>19015</v>
      </c>
    </row>
    <row r="516" spans="2:5" ht="15" x14ac:dyDescent="0.2">
      <c r="B516" s="8" t="s">
        <v>225</v>
      </c>
      <c r="C516" s="8" t="s">
        <v>6</v>
      </c>
      <c r="D516" s="76">
        <v>39000</v>
      </c>
      <c r="E516" s="76">
        <f t="shared" si="3"/>
        <v>39015</v>
      </c>
    </row>
    <row r="517" spans="2:5" ht="15" x14ac:dyDescent="0.2">
      <c r="B517" s="8" t="s">
        <v>228</v>
      </c>
      <c r="C517" s="8" t="s">
        <v>101</v>
      </c>
      <c r="D517" s="76">
        <v>21500</v>
      </c>
      <c r="E517" s="76">
        <f t="shared" si="3"/>
        <v>21515</v>
      </c>
    </row>
    <row r="518" spans="2:5" ht="15" x14ac:dyDescent="0.2">
      <c r="B518" s="8" t="s">
        <v>230</v>
      </c>
      <c r="C518" s="8" t="s">
        <v>6</v>
      </c>
      <c r="D518" s="76">
        <v>46000</v>
      </c>
      <c r="E518" s="76">
        <f t="shared" si="3"/>
        <v>46015</v>
      </c>
    </row>
    <row r="519" spans="2:5" ht="15" x14ac:dyDescent="0.2">
      <c r="B519" s="8" t="s">
        <v>232</v>
      </c>
      <c r="C519" s="8" t="s">
        <v>6</v>
      </c>
      <c r="D519" s="76">
        <v>10000</v>
      </c>
      <c r="E519" s="76">
        <f t="shared" si="3"/>
        <v>10015</v>
      </c>
    </row>
    <row r="520" spans="2:5" ht="15" x14ac:dyDescent="0.2">
      <c r="B520" s="8" t="s">
        <v>234</v>
      </c>
      <c r="C520" s="8" t="s">
        <v>6</v>
      </c>
      <c r="D520" s="76">
        <v>38000</v>
      </c>
      <c r="E520" s="76">
        <f t="shared" si="3"/>
        <v>38015</v>
      </c>
    </row>
    <row r="521" spans="2:5" ht="15" x14ac:dyDescent="0.2">
      <c r="B521" s="8" t="s">
        <v>236</v>
      </c>
      <c r="C521" s="8" t="s">
        <v>3</v>
      </c>
      <c r="D521" s="76">
        <v>8000</v>
      </c>
      <c r="E521" s="76">
        <f t="shared" si="3"/>
        <v>8015</v>
      </c>
    </row>
    <row r="522" spans="2:5" ht="15" x14ac:dyDescent="0.2">
      <c r="B522" s="8" t="s">
        <v>238</v>
      </c>
      <c r="C522" s="8" t="s">
        <v>6</v>
      </c>
      <c r="D522" s="76">
        <v>50000</v>
      </c>
      <c r="E522" s="76">
        <f t="shared" si="3"/>
        <v>50015</v>
      </c>
    </row>
    <row r="523" spans="2:5" ht="15" x14ac:dyDescent="0.2">
      <c r="B523" s="8" t="s">
        <v>240</v>
      </c>
      <c r="C523" s="8" t="s">
        <v>3</v>
      </c>
      <c r="D523" s="76">
        <v>6200</v>
      </c>
      <c r="E523" s="76">
        <f t="shared" si="3"/>
        <v>6215</v>
      </c>
    </row>
    <row r="524" spans="2:5" ht="15" x14ac:dyDescent="0.2">
      <c r="B524" s="8" t="s">
        <v>242</v>
      </c>
      <c r="C524" s="8" t="s">
        <v>6</v>
      </c>
      <c r="D524" s="76">
        <v>25000</v>
      </c>
      <c r="E524" s="76">
        <f t="shared" si="3"/>
        <v>25015</v>
      </c>
    </row>
    <row r="525" spans="2:5" ht="15" x14ac:dyDescent="0.2">
      <c r="B525" s="8" t="s">
        <v>244</v>
      </c>
      <c r="C525" s="8" t="s">
        <v>6</v>
      </c>
      <c r="D525" s="76">
        <v>35000</v>
      </c>
      <c r="E525" s="76">
        <f t="shared" si="3"/>
        <v>35015</v>
      </c>
    </row>
    <row r="526" spans="2:5" ht="15" x14ac:dyDescent="0.2">
      <c r="B526" s="8" t="s">
        <v>246</v>
      </c>
      <c r="C526" s="8" t="s">
        <v>6</v>
      </c>
      <c r="D526" s="76">
        <v>95000</v>
      </c>
      <c r="E526" s="76">
        <f t="shared" si="3"/>
        <v>95015</v>
      </c>
    </row>
    <row r="527" spans="2:5" ht="15" x14ac:dyDescent="0.2">
      <c r="B527" s="8" t="s">
        <v>248</v>
      </c>
      <c r="C527" s="8" t="s">
        <v>6</v>
      </c>
      <c r="D527" s="76">
        <v>125000</v>
      </c>
      <c r="E527" s="76">
        <f t="shared" si="3"/>
        <v>125015</v>
      </c>
    </row>
    <row r="528" spans="2:5" ht="15" x14ac:dyDescent="0.2">
      <c r="B528" s="8" t="s">
        <v>250</v>
      </c>
      <c r="C528" s="8" t="s">
        <v>6</v>
      </c>
      <c r="D528" s="76">
        <v>15000</v>
      </c>
      <c r="E528" s="76">
        <f t="shared" si="3"/>
        <v>15015</v>
      </c>
    </row>
    <row r="529" spans="2:5" ht="15" x14ac:dyDescent="0.2">
      <c r="B529" s="8" t="s">
        <v>252</v>
      </c>
      <c r="C529" s="8" t="s">
        <v>6</v>
      </c>
      <c r="D529" s="76">
        <v>21800</v>
      </c>
      <c r="E529" s="76">
        <f t="shared" si="3"/>
        <v>21815</v>
      </c>
    </row>
    <row r="530" spans="2:5" ht="15" x14ac:dyDescent="0.2">
      <c r="B530" s="8" t="s">
        <v>254</v>
      </c>
      <c r="C530" s="8" t="s">
        <v>6</v>
      </c>
      <c r="D530" s="76">
        <v>35000</v>
      </c>
      <c r="E530" s="76">
        <f t="shared" si="3"/>
        <v>35015</v>
      </c>
    </row>
    <row r="531" spans="2:5" ht="15" x14ac:dyDescent="0.2">
      <c r="B531" s="8" t="s">
        <v>256</v>
      </c>
      <c r="C531" s="8" t="s">
        <v>6</v>
      </c>
      <c r="D531" s="76">
        <v>29000</v>
      </c>
      <c r="E531" s="76">
        <f t="shared" si="3"/>
        <v>29015</v>
      </c>
    </row>
    <row r="532" spans="2:5" ht="15" x14ac:dyDescent="0.2">
      <c r="B532" s="8" t="s">
        <v>258</v>
      </c>
      <c r="C532" s="8" t="s">
        <v>6</v>
      </c>
      <c r="D532" s="76">
        <v>40000</v>
      </c>
      <c r="E532" s="76">
        <f t="shared" si="3"/>
        <v>40015</v>
      </c>
    </row>
    <row r="533" spans="2:5" ht="15" x14ac:dyDescent="0.2">
      <c r="B533" s="8" t="s">
        <v>260</v>
      </c>
      <c r="C533" s="8" t="s">
        <v>6</v>
      </c>
      <c r="D533" s="76">
        <v>16000</v>
      </c>
      <c r="E533" s="76">
        <f t="shared" si="3"/>
        <v>16015</v>
      </c>
    </row>
    <row r="534" spans="2:5" ht="15" x14ac:dyDescent="0.2">
      <c r="B534" s="8" t="s">
        <v>262</v>
      </c>
      <c r="C534" s="8" t="s">
        <v>6</v>
      </c>
      <c r="D534" s="76">
        <v>36000</v>
      </c>
      <c r="E534" s="76">
        <f t="shared" si="3"/>
        <v>36015</v>
      </c>
    </row>
    <row r="535" spans="2:5" ht="15" x14ac:dyDescent="0.2">
      <c r="B535" s="8" t="s">
        <v>264</v>
      </c>
      <c r="C535" s="8" t="s">
        <v>6</v>
      </c>
      <c r="D535" s="76">
        <v>16000</v>
      </c>
      <c r="E535" s="76">
        <f t="shared" si="3"/>
        <v>16015</v>
      </c>
    </row>
    <row r="536" spans="2:5" ht="15" x14ac:dyDescent="0.2">
      <c r="B536" s="8" t="s">
        <v>266</v>
      </c>
      <c r="C536" s="8" t="s">
        <v>6</v>
      </c>
      <c r="D536" s="76">
        <v>20000</v>
      </c>
      <c r="E536" s="76">
        <f t="shared" si="3"/>
        <v>20015</v>
      </c>
    </row>
    <row r="537" spans="2:5" ht="15" x14ac:dyDescent="0.2">
      <c r="B537" s="8" t="s">
        <v>268</v>
      </c>
      <c r="C537" s="8" t="s">
        <v>6</v>
      </c>
      <c r="D537" s="76">
        <v>29000</v>
      </c>
      <c r="E537" s="76">
        <f t="shared" si="3"/>
        <v>29015</v>
      </c>
    </row>
    <row r="538" spans="2:5" ht="15" x14ac:dyDescent="0.2">
      <c r="B538" s="8" t="s">
        <v>270</v>
      </c>
      <c r="C538" s="8" t="s">
        <v>6</v>
      </c>
      <c r="D538" s="76">
        <v>26500</v>
      </c>
      <c r="E538" s="76">
        <f t="shared" si="3"/>
        <v>26515</v>
      </c>
    </row>
    <row r="539" spans="2:5" ht="15" x14ac:dyDescent="0.2">
      <c r="B539" s="8" t="s">
        <v>272</v>
      </c>
      <c r="C539" s="8" t="s">
        <v>6</v>
      </c>
      <c r="D539" s="76">
        <v>18000</v>
      </c>
      <c r="E539" s="76">
        <f t="shared" si="3"/>
        <v>18015</v>
      </c>
    </row>
    <row r="540" spans="2:5" ht="15" x14ac:dyDescent="0.2">
      <c r="B540" s="8" t="s">
        <v>274</v>
      </c>
      <c r="C540" s="8" t="s">
        <v>6</v>
      </c>
      <c r="D540" s="76">
        <v>26000</v>
      </c>
      <c r="E540" s="76">
        <f t="shared" si="3"/>
        <v>26015</v>
      </c>
    </row>
    <row r="541" spans="2:5" ht="15" x14ac:dyDescent="0.2">
      <c r="B541" s="8" t="s">
        <v>276</v>
      </c>
      <c r="C541" s="8" t="s">
        <v>6</v>
      </c>
      <c r="D541" s="76">
        <v>44000</v>
      </c>
      <c r="E541" s="76">
        <f t="shared" si="3"/>
        <v>44015</v>
      </c>
    </row>
    <row r="542" spans="2:5" ht="15" x14ac:dyDescent="0.2">
      <c r="B542" s="8" t="s">
        <v>278</v>
      </c>
      <c r="C542" s="8" t="s">
        <v>6</v>
      </c>
      <c r="D542" s="76">
        <v>36000</v>
      </c>
      <c r="E542" s="76">
        <f t="shared" si="3"/>
        <v>36015</v>
      </c>
    </row>
    <row r="543" spans="2:5" ht="15" x14ac:dyDescent="0.2">
      <c r="B543" s="8" t="s">
        <v>280</v>
      </c>
      <c r="C543" s="8" t="s">
        <v>6</v>
      </c>
      <c r="D543" s="76">
        <v>312000</v>
      </c>
      <c r="E543" s="76">
        <f t="shared" si="3"/>
        <v>312015</v>
      </c>
    </row>
    <row r="544" spans="2:5" ht="15" x14ac:dyDescent="0.2">
      <c r="B544" s="8" t="s">
        <v>282</v>
      </c>
      <c r="C544" s="8" t="s">
        <v>6</v>
      </c>
      <c r="D544" s="76">
        <v>42000</v>
      </c>
      <c r="E544" s="76">
        <f t="shared" si="3"/>
        <v>42015</v>
      </c>
    </row>
    <row r="545" spans="2:5" ht="15" x14ac:dyDescent="0.2">
      <c r="B545" s="8" t="s">
        <v>284</v>
      </c>
      <c r="C545" s="8" t="s">
        <v>6</v>
      </c>
      <c r="D545" s="76">
        <v>38000</v>
      </c>
      <c r="E545" s="76">
        <f t="shared" si="3"/>
        <v>38015</v>
      </c>
    </row>
    <row r="546" spans="2:5" ht="15" x14ac:dyDescent="0.2">
      <c r="B546" s="8" t="s">
        <v>286</v>
      </c>
      <c r="C546" s="8" t="s">
        <v>6</v>
      </c>
      <c r="D546" s="76">
        <v>22500</v>
      </c>
      <c r="E546" s="76">
        <f t="shared" si="3"/>
        <v>22515</v>
      </c>
    </row>
    <row r="547" spans="2:5" ht="15" x14ac:dyDescent="0.2">
      <c r="B547" s="8" t="s">
        <v>288</v>
      </c>
      <c r="C547" s="8" t="s">
        <v>6</v>
      </c>
      <c r="D547" s="76">
        <v>3800</v>
      </c>
      <c r="E547" s="76">
        <f t="shared" si="3"/>
        <v>3815</v>
      </c>
    </row>
    <row r="548" spans="2:5" ht="15" x14ac:dyDescent="0.2">
      <c r="B548" s="8" t="s">
        <v>290</v>
      </c>
      <c r="C548" s="8" t="s">
        <v>3</v>
      </c>
      <c r="D548" s="76">
        <v>29000</v>
      </c>
      <c r="E548" s="76">
        <f t="shared" si="3"/>
        <v>29015</v>
      </c>
    </row>
    <row r="549" spans="2:5" ht="15" x14ac:dyDescent="0.2">
      <c r="B549" s="8" t="s">
        <v>292</v>
      </c>
      <c r="C549" s="8" t="s">
        <v>3</v>
      </c>
      <c r="D549" s="76">
        <v>58000</v>
      </c>
      <c r="E549" s="76">
        <f t="shared" si="3"/>
        <v>58015</v>
      </c>
    </row>
    <row r="550" spans="2:5" ht="15" x14ac:dyDescent="0.2">
      <c r="B550" s="8" t="s">
        <v>294</v>
      </c>
      <c r="C550" s="8" t="s">
        <v>6</v>
      </c>
      <c r="D550" s="76">
        <v>56000</v>
      </c>
      <c r="E550" s="76">
        <f t="shared" si="3"/>
        <v>56015</v>
      </c>
    </row>
    <row r="551" spans="2:5" ht="15" x14ac:dyDescent="0.2">
      <c r="B551" s="8" t="s">
        <v>296</v>
      </c>
      <c r="C551" s="8" t="s">
        <v>6</v>
      </c>
      <c r="D551" s="76">
        <v>55000</v>
      </c>
      <c r="E551" s="76">
        <f t="shared" si="3"/>
        <v>55015</v>
      </c>
    </row>
    <row r="552" spans="2:5" ht="15" x14ac:dyDescent="0.2">
      <c r="B552" s="8" t="s">
        <v>298</v>
      </c>
      <c r="C552" s="8" t="s">
        <v>6</v>
      </c>
      <c r="D552" s="76">
        <v>80000</v>
      </c>
      <c r="E552" s="76">
        <f t="shared" si="3"/>
        <v>80015</v>
      </c>
    </row>
    <row r="553" spans="2:5" ht="15" x14ac:dyDescent="0.2">
      <c r="B553" s="8" t="s">
        <v>300</v>
      </c>
      <c r="C553" s="8" t="s">
        <v>6</v>
      </c>
      <c r="D553" s="76">
        <v>94000</v>
      </c>
      <c r="E553" s="76">
        <f t="shared" si="3"/>
        <v>94015</v>
      </c>
    </row>
    <row r="554" spans="2:5" ht="15" x14ac:dyDescent="0.2">
      <c r="B554" s="8" t="s">
        <v>302</v>
      </c>
      <c r="C554" s="8" t="s">
        <v>3</v>
      </c>
      <c r="D554" s="76">
        <v>178000</v>
      </c>
      <c r="E554" s="76">
        <f t="shared" si="3"/>
        <v>178015</v>
      </c>
    </row>
    <row r="555" spans="2:5" ht="15" x14ac:dyDescent="0.2">
      <c r="B555" s="8" t="s">
        <v>304</v>
      </c>
      <c r="C555" s="8" t="s">
        <v>6</v>
      </c>
      <c r="D555" s="76">
        <v>130000</v>
      </c>
      <c r="E555" s="76">
        <f t="shared" si="3"/>
        <v>130015</v>
      </c>
    </row>
    <row r="556" spans="2:5" ht="15" x14ac:dyDescent="0.2">
      <c r="B556" s="8" t="s">
        <v>306</v>
      </c>
      <c r="C556" s="8" t="s">
        <v>6</v>
      </c>
      <c r="D556" s="76">
        <v>61000</v>
      </c>
      <c r="E556" s="76">
        <f t="shared" si="3"/>
        <v>61015</v>
      </c>
    </row>
    <row r="557" spans="2:5" ht="15" x14ac:dyDescent="0.2">
      <c r="B557" s="8" t="s">
        <v>308</v>
      </c>
      <c r="C557" s="8" t="s">
        <v>6</v>
      </c>
      <c r="D557" s="76">
        <v>54000</v>
      </c>
      <c r="E557" s="76">
        <f t="shared" si="3"/>
        <v>54015</v>
      </c>
    </row>
    <row r="558" spans="2:5" ht="15" x14ac:dyDescent="0.2">
      <c r="B558" s="8" t="s">
        <v>310</v>
      </c>
      <c r="C558" s="8" t="s">
        <v>3</v>
      </c>
      <c r="D558" s="76">
        <v>262000</v>
      </c>
      <c r="E558" s="76">
        <f t="shared" si="3"/>
        <v>262015</v>
      </c>
    </row>
    <row r="559" spans="2:5" ht="15" x14ac:dyDescent="0.2">
      <c r="B559" s="8" t="s">
        <v>312</v>
      </c>
      <c r="C559" s="8" t="s">
        <v>3</v>
      </c>
      <c r="D559" s="76">
        <v>106000</v>
      </c>
      <c r="E559" s="76">
        <f t="shared" ref="E559:E622" si="4">D559+15</f>
        <v>106015</v>
      </c>
    </row>
    <row r="560" spans="2:5" ht="15" x14ac:dyDescent="0.2">
      <c r="B560" s="8" t="s">
        <v>314</v>
      </c>
      <c r="C560" s="8" t="s">
        <v>6</v>
      </c>
      <c r="D560" s="76">
        <v>16000</v>
      </c>
      <c r="E560" s="76">
        <f t="shared" si="4"/>
        <v>16015</v>
      </c>
    </row>
    <row r="561" spans="2:5" ht="15" x14ac:dyDescent="0.2">
      <c r="B561" s="8" t="s">
        <v>316</v>
      </c>
      <c r="C561" s="8" t="s">
        <v>3</v>
      </c>
      <c r="D561" s="76">
        <v>38000</v>
      </c>
      <c r="E561" s="76">
        <f t="shared" si="4"/>
        <v>38015</v>
      </c>
    </row>
    <row r="562" spans="2:5" ht="15" x14ac:dyDescent="0.2">
      <c r="B562" s="8" t="s">
        <v>318</v>
      </c>
      <c r="C562" s="8" t="s">
        <v>3</v>
      </c>
      <c r="D562" s="76">
        <v>15000</v>
      </c>
      <c r="E562" s="76">
        <f t="shared" si="4"/>
        <v>15015</v>
      </c>
    </row>
    <row r="563" spans="2:5" ht="15" x14ac:dyDescent="0.2">
      <c r="B563" s="8" t="s">
        <v>320</v>
      </c>
      <c r="C563" s="8" t="s">
        <v>6</v>
      </c>
      <c r="D563" s="76">
        <v>40500</v>
      </c>
      <c r="E563" s="76">
        <f t="shared" si="4"/>
        <v>40515</v>
      </c>
    </row>
    <row r="564" spans="2:5" ht="15" x14ac:dyDescent="0.2">
      <c r="B564" s="8" t="s">
        <v>322</v>
      </c>
      <c r="C564" s="8" t="s">
        <v>323</v>
      </c>
      <c r="D564" s="77">
        <v>13500</v>
      </c>
      <c r="E564" s="76">
        <f t="shared" si="4"/>
        <v>13515</v>
      </c>
    </row>
    <row r="565" spans="2:5" ht="15" x14ac:dyDescent="0.2">
      <c r="B565" s="8" t="s">
        <v>220</v>
      </c>
      <c r="C565" s="8" t="s">
        <v>6</v>
      </c>
      <c r="D565" s="78">
        <v>35000</v>
      </c>
      <c r="E565" s="76">
        <f t="shared" si="4"/>
        <v>35015</v>
      </c>
    </row>
    <row r="566" spans="2:5" ht="15" x14ac:dyDescent="0.2">
      <c r="B566" s="8" t="s">
        <v>222</v>
      </c>
      <c r="C566" s="8" t="s">
        <v>6</v>
      </c>
      <c r="D566" s="78">
        <v>24600</v>
      </c>
      <c r="E566" s="76">
        <f t="shared" si="4"/>
        <v>24615</v>
      </c>
    </row>
    <row r="567" spans="2:5" ht="15" x14ac:dyDescent="0.2">
      <c r="B567" s="8" t="s">
        <v>224</v>
      </c>
      <c r="C567" s="8" t="s">
        <v>6</v>
      </c>
      <c r="D567" s="78">
        <v>65000</v>
      </c>
      <c r="E567" s="76">
        <f t="shared" si="4"/>
        <v>65015</v>
      </c>
    </row>
    <row r="568" spans="2:5" ht="15" x14ac:dyDescent="0.2">
      <c r="B568" s="8" t="s">
        <v>226</v>
      </c>
      <c r="C568" s="8" t="s">
        <v>227</v>
      </c>
      <c r="D568" s="78">
        <v>84000</v>
      </c>
      <c r="E568" s="76">
        <f t="shared" si="4"/>
        <v>84015</v>
      </c>
    </row>
    <row r="569" spans="2:5" ht="15" x14ac:dyDescent="0.2">
      <c r="B569" s="8" t="s">
        <v>229</v>
      </c>
      <c r="C569" s="8" t="s">
        <v>12</v>
      </c>
      <c r="D569" s="78">
        <v>30500</v>
      </c>
      <c r="E569" s="76">
        <f t="shared" si="4"/>
        <v>30515</v>
      </c>
    </row>
    <row r="570" spans="2:5" ht="15" x14ac:dyDescent="0.2">
      <c r="B570" s="8" t="s">
        <v>231</v>
      </c>
      <c r="C570" s="8" t="s">
        <v>6</v>
      </c>
      <c r="D570" s="78">
        <v>65000</v>
      </c>
      <c r="E570" s="76">
        <f t="shared" si="4"/>
        <v>65015</v>
      </c>
    </row>
    <row r="571" spans="2:5" ht="15" x14ac:dyDescent="0.2">
      <c r="B571" s="8" t="s">
        <v>233</v>
      </c>
      <c r="C571" s="8" t="s">
        <v>12</v>
      </c>
      <c r="D571" s="78">
        <v>35000</v>
      </c>
      <c r="E571" s="76">
        <f t="shared" si="4"/>
        <v>35015</v>
      </c>
    </row>
    <row r="572" spans="2:5" ht="15" x14ac:dyDescent="0.2">
      <c r="B572" s="8" t="s">
        <v>235</v>
      </c>
      <c r="C572" s="8" t="s">
        <v>6</v>
      </c>
      <c r="D572" s="78">
        <v>85000</v>
      </c>
      <c r="E572" s="76">
        <f t="shared" si="4"/>
        <v>85015</v>
      </c>
    </row>
    <row r="573" spans="2:5" ht="15" x14ac:dyDescent="0.2">
      <c r="B573" s="8" t="s">
        <v>237</v>
      </c>
      <c r="C573" s="8" t="s">
        <v>6</v>
      </c>
      <c r="D573" s="78">
        <v>14000</v>
      </c>
      <c r="E573" s="76">
        <f t="shared" si="4"/>
        <v>14015</v>
      </c>
    </row>
    <row r="574" spans="2:5" ht="15" x14ac:dyDescent="0.2">
      <c r="B574" s="8" t="s">
        <v>239</v>
      </c>
      <c r="C574" s="8" t="s">
        <v>3</v>
      </c>
      <c r="D574" s="78">
        <v>37000</v>
      </c>
      <c r="E574" s="76">
        <f t="shared" si="4"/>
        <v>37015</v>
      </c>
    </row>
    <row r="575" spans="2:5" ht="15" x14ac:dyDescent="0.2">
      <c r="B575" s="8" t="s">
        <v>241</v>
      </c>
      <c r="C575" s="8" t="s">
        <v>3</v>
      </c>
      <c r="D575" s="78">
        <v>25000</v>
      </c>
      <c r="E575" s="76">
        <f t="shared" si="4"/>
        <v>25015</v>
      </c>
    </row>
    <row r="576" spans="2:5" ht="15" x14ac:dyDescent="0.2">
      <c r="B576" s="8" t="s">
        <v>243</v>
      </c>
      <c r="C576" s="8" t="s">
        <v>3</v>
      </c>
      <c r="D576" s="78">
        <v>80500</v>
      </c>
      <c r="E576" s="76">
        <f t="shared" si="4"/>
        <v>80515</v>
      </c>
    </row>
    <row r="577" spans="2:5" ht="15" x14ac:dyDescent="0.2">
      <c r="B577" s="8" t="s">
        <v>245</v>
      </c>
      <c r="C577" s="8" t="s">
        <v>6</v>
      </c>
      <c r="D577" s="78">
        <v>82000</v>
      </c>
      <c r="E577" s="76">
        <f t="shared" si="4"/>
        <v>82015</v>
      </c>
    </row>
    <row r="578" spans="2:5" ht="15" x14ac:dyDescent="0.2">
      <c r="B578" s="8" t="s">
        <v>247</v>
      </c>
      <c r="C578" s="8" t="s">
        <v>6</v>
      </c>
      <c r="D578" s="78">
        <v>45000</v>
      </c>
      <c r="E578" s="76">
        <f t="shared" si="4"/>
        <v>45015</v>
      </c>
    </row>
    <row r="579" spans="2:5" ht="15" x14ac:dyDescent="0.2">
      <c r="B579" s="8" t="s">
        <v>249</v>
      </c>
      <c r="C579" s="8" t="s">
        <v>6</v>
      </c>
      <c r="D579" s="78">
        <v>15000</v>
      </c>
      <c r="E579" s="76">
        <f t="shared" si="4"/>
        <v>15015</v>
      </c>
    </row>
    <row r="580" spans="2:5" ht="15" x14ac:dyDescent="0.2">
      <c r="B580" s="8" t="s">
        <v>251</v>
      </c>
      <c r="C580" s="8" t="s">
        <v>6</v>
      </c>
      <c r="D580" s="78">
        <v>72000</v>
      </c>
      <c r="E580" s="76">
        <f t="shared" si="4"/>
        <v>72015</v>
      </c>
    </row>
    <row r="581" spans="2:5" ht="15" x14ac:dyDescent="0.2">
      <c r="B581" s="8" t="s">
        <v>253</v>
      </c>
      <c r="C581" s="8" t="s">
        <v>3</v>
      </c>
      <c r="D581" s="78">
        <v>100000</v>
      </c>
      <c r="E581" s="76">
        <f t="shared" si="4"/>
        <v>100015</v>
      </c>
    </row>
    <row r="582" spans="2:5" ht="15" x14ac:dyDescent="0.2">
      <c r="B582" s="8" t="s">
        <v>255</v>
      </c>
      <c r="C582" s="8" t="s">
        <v>37</v>
      </c>
      <c r="D582" s="78">
        <v>42000</v>
      </c>
      <c r="E582" s="76">
        <f t="shared" si="4"/>
        <v>42015</v>
      </c>
    </row>
    <row r="583" spans="2:5" ht="15" x14ac:dyDescent="0.2">
      <c r="B583" s="8" t="s">
        <v>257</v>
      </c>
      <c r="C583" s="8" t="s">
        <v>6</v>
      </c>
      <c r="D583" s="78">
        <v>47500</v>
      </c>
      <c r="E583" s="76">
        <f t="shared" si="4"/>
        <v>47515</v>
      </c>
    </row>
    <row r="584" spans="2:5" ht="15" x14ac:dyDescent="0.2">
      <c r="B584" s="8" t="s">
        <v>259</v>
      </c>
      <c r="C584" s="8" t="s">
        <v>6</v>
      </c>
      <c r="D584" s="78">
        <v>66000</v>
      </c>
      <c r="E584" s="76">
        <f t="shared" si="4"/>
        <v>66015</v>
      </c>
    </row>
    <row r="585" spans="2:5" ht="15" x14ac:dyDescent="0.2">
      <c r="B585" s="8" t="s">
        <v>261</v>
      </c>
      <c r="C585" s="8" t="s">
        <v>6</v>
      </c>
      <c r="D585" s="78">
        <v>122000</v>
      </c>
      <c r="E585" s="76">
        <f t="shared" si="4"/>
        <v>122015</v>
      </c>
    </row>
    <row r="586" spans="2:5" ht="15" x14ac:dyDescent="0.2">
      <c r="B586" s="8" t="s">
        <v>263</v>
      </c>
      <c r="C586" s="8" t="s">
        <v>6</v>
      </c>
      <c r="D586" s="78">
        <v>78000</v>
      </c>
      <c r="E586" s="76">
        <f t="shared" si="4"/>
        <v>78015</v>
      </c>
    </row>
    <row r="587" spans="2:5" ht="15" x14ac:dyDescent="0.2">
      <c r="B587" s="8" t="s">
        <v>265</v>
      </c>
      <c r="C587" s="8" t="s">
        <v>3</v>
      </c>
      <c r="D587" s="78">
        <v>39000</v>
      </c>
      <c r="E587" s="76">
        <f t="shared" si="4"/>
        <v>39015</v>
      </c>
    </row>
    <row r="588" spans="2:5" ht="15" x14ac:dyDescent="0.2">
      <c r="B588" s="8" t="s">
        <v>267</v>
      </c>
      <c r="C588" s="8" t="s">
        <v>101</v>
      </c>
      <c r="D588" s="78">
        <v>5000</v>
      </c>
      <c r="E588" s="76">
        <f t="shared" si="4"/>
        <v>5015</v>
      </c>
    </row>
    <row r="589" spans="2:5" ht="15" x14ac:dyDescent="0.2">
      <c r="B589" s="8" t="s">
        <v>269</v>
      </c>
      <c r="C589" s="8" t="s">
        <v>3</v>
      </c>
      <c r="D589" s="78">
        <v>16500</v>
      </c>
      <c r="E589" s="76">
        <f t="shared" si="4"/>
        <v>16515</v>
      </c>
    </row>
    <row r="590" spans="2:5" ht="15" x14ac:dyDescent="0.2">
      <c r="B590" s="8" t="s">
        <v>271</v>
      </c>
      <c r="C590" s="8" t="s">
        <v>6</v>
      </c>
      <c r="D590" s="78">
        <v>5700</v>
      </c>
      <c r="E590" s="76">
        <f t="shared" si="4"/>
        <v>5715</v>
      </c>
    </row>
    <row r="591" spans="2:5" ht="15" x14ac:dyDescent="0.2">
      <c r="B591" s="8" t="s">
        <v>273</v>
      </c>
      <c r="C591" s="8" t="s">
        <v>6</v>
      </c>
      <c r="D591" s="78">
        <v>19000</v>
      </c>
      <c r="E591" s="76">
        <f t="shared" si="4"/>
        <v>19015</v>
      </c>
    </row>
    <row r="592" spans="2:5" ht="15" x14ac:dyDescent="0.2">
      <c r="B592" s="8" t="s">
        <v>275</v>
      </c>
      <c r="C592" s="8" t="s">
        <v>6</v>
      </c>
      <c r="D592" s="78">
        <v>15500</v>
      </c>
      <c r="E592" s="76">
        <f t="shared" si="4"/>
        <v>15515</v>
      </c>
    </row>
    <row r="593" spans="2:5" ht="15" x14ac:dyDescent="0.2">
      <c r="B593" s="8" t="s">
        <v>277</v>
      </c>
      <c r="C593" s="8" t="s">
        <v>3</v>
      </c>
      <c r="D593" s="78">
        <v>25000</v>
      </c>
      <c r="E593" s="76">
        <f t="shared" si="4"/>
        <v>25015</v>
      </c>
    </row>
    <row r="594" spans="2:5" ht="15" x14ac:dyDescent="0.2">
      <c r="B594" s="8" t="s">
        <v>279</v>
      </c>
      <c r="C594" s="8" t="s">
        <v>6</v>
      </c>
      <c r="D594" s="78">
        <v>39000</v>
      </c>
      <c r="E594" s="76">
        <f t="shared" si="4"/>
        <v>39015</v>
      </c>
    </row>
    <row r="595" spans="2:5" ht="15" x14ac:dyDescent="0.2">
      <c r="B595" s="8" t="s">
        <v>281</v>
      </c>
      <c r="C595" s="8" t="s">
        <v>6</v>
      </c>
      <c r="D595" s="78">
        <v>190000</v>
      </c>
      <c r="E595" s="76">
        <f t="shared" si="4"/>
        <v>190015</v>
      </c>
    </row>
    <row r="596" spans="2:5" ht="15" x14ac:dyDescent="0.2">
      <c r="B596" s="8" t="s">
        <v>283</v>
      </c>
      <c r="C596" s="8" t="s">
        <v>3</v>
      </c>
      <c r="D596" s="78">
        <v>20000</v>
      </c>
      <c r="E596" s="76">
        <f t="shared" si="4"/>
        <v>20015</v>
      </c>
    </row>
    <row r="597" spans="2:5" ht="15" x14ac:dyDescent="0.2">
      <c r="B597" s="8" t="s">
        <v>285</v>
      </c>
      <c r="C597" s="8" t="s">
        <v>6</v>
      </c>
      <c r="D597" s="78">
        <v>19000</v>
      </c>
      <c r="E597" s="76">
        <f t="shared" si="4"/>
        <v>19015</v>
      </c>
    </row>
    <row r="598" spans="2:5" ht="15" x14ac:dyDescent="0.2">
      <c r="B598" s="8" t="s">
        <v>287</v>
      </c>
      <c r="C598" s="8" t="s">
        <v>3</v>
      </c>
      <c r="D598" s="78">
        <v>30000</v>
      </c>
      <c r="E598" s="76">
        <f t="shared" si="4"/>
        <v>30015</v>
      </c>
    </row>
    <row r="599" spans="2:5" ht="15" x14ac:dyDescent="0.2">
      <c r="B599" s="8" t="s">
        <v>289</v>
      </c>
      <c r="C599" s="8" t="s">
        <v>6</v>
      </c>
      <c r="D599" s="78">
        <v>42000</v>
      </c>
      <c r="E599" s="76">
        <f t="shared" si="4"/>
        <v>42015</v>
      </c>
    </row>
    <row r="600" spans="2:5" ht="15" x14ac:dyDescent="0.2">
      <c r="B600" s="8" t="s">
        <v>291</v>
      </c>
      <c r="C600" s="8" t="s">
        <v>6</v>
      </c>
      <c r="D600" s="78">
        <v>35000</v>
      </c>
      <c r="E600" s="76">
        <f t="shared" si="4"/>
        <v>35015</v>
      </c>
    </row>
    <row r="601" spans="2:5" ht="15" x14ac:dyDescent="0.2">
      <c r="B601" s="8" t="s">
        <v>293</v>
      </c>
      <c r="C601" s="8" t="s">
        <v>101</v>
      </c>
      <c r="D601" s="78">
        <v>19000</v>
      </c>
      <c r="E601" s="76">
        <f t="shared" si="4"/>
        <v>19015</v>
      </c>
    </row>
    <row r="602" spans="2:5" ht="15" x14ac:dyDescent="0.2">
      <c r="B602" s="8" t="s">
        <v>295</v>
      </c>
      <c r="C602" s="8" t="s">
        <v>101</v>
      </c>
      <c r="D602" s="78">
        <v>43000</v>
      </c>
      <c r="E602" s="76">
        <f t="shared" si="4"/>
        <v>43015</v>
      </c>
    </row>
    <row r="603" spans="2:5" ht="15" x14ac:dyDescent="0.2">
      <c r="B603" s="8" t="s">
        <v>297</v>
      </c>
      <c r="C603" s="8" t="s">
        <v>6</v>
      </c>
      <c r="D603" s="78">
        <v>25300</v>
      </c>
      <c r="E603" s="76">
        <f t="shared" si="4"/>
        <v>25315</v>
      </c>
    </row>
    <row r="604" spans="2:5" ht="15" x14ac:dyDescent="0.2">
      <c r="B604" s="8" t="s">
        <v>299</v>
      </c>
      <c r="C604" s="8" t="s">
        <v>6</v>
      </c>
      <c r="D604" s="78">
        <v>90000</v>
      </c>
      <c r="E604" s="76">
        <f t="shared" si="4"/>
        <v>90015</v>
      </c>
    </row>
    <row r="605" spans="2:5" ht="15" x14ac:dyDescent="0.2">
      <c r="B605" s="8" t="s">
        <v>301</v>
      </c>
      <c r="C605" s="8" t="s">
        <v>3</v>
      </c>
      <c r="D605" s="78">
        <v>18000</v>
      </c>
      <c r="E605" s="76">
        <f t="shared" si="4"/>
        <v>18015</v>
      </c>
    </row>
    <row r="606" spans="2:5" ht="15" x14ac:dyDescent="0.2">
      <c r="B606" s="8" t="s">
        <v>303</v>
      </c>
      <c r="C606" s="8" t="s">
        <v>3</v>
      </c>
      <c r="D606" s="78">
        <v>14000</v>
      </c>
      <c r="E606" s="76">
        <f t="shared" si="4"/>
        <v>14015</v>
      </c>
    </row>
    <row r="607" spans="2:5" ht="15" x14ac:dyDescent="0.2">
      <c r="B607" s="8" t="s">
        <v>305</v>
      </c>
      <c r="C607" s="8" t="s">
        <v>3</v>
      </c>
      <c r="D607" s="78">
        <v>5000</v>
      </c>
      <c r="E607" s="76">
        <f t="shared" si="4"/>
        <v>5015</v>
      </c>
    </row>
    <row r="608" spans="2:5" ht="15" x14ac:dyDescent="0.2">
      <c r="B608" s="8" t="s">
        <v>307</v>
      </c>
      <c r="C608" s="8" t="s">
        <v>227</v>
      </c>
      <c r="D608" s="78">
        <v>23000</v>
      </c>
      <c r="E608" s="76">
        <f t="shared" si="4"/>
        <v>23015</v>
      </c>
    </row>
    <row r="609" spans="2:5" ht="15" x14ac:dyDescent="0.2">
      <c r="B609" s="8" t="s">
        <v>309</v>
      </c>
      <c r="C609" s="8" t="s">
        <v>37</v>
      </c>
      <c r="D609" s="78">
        <v>30000</v>
      </c>
      <c r="E609" s="76">
        <f t="shared" si="4"/>
        <v>30015</v>
      </c>
    </row>
    <row r="610" spans="2:5" ht="15" x14ac:dyDescent="0.2">
      <c r="B610" s="8" t="s">
        <v>311</v>
      </c>
      <c r="C610" s="8" t="s">
        <v>3</v>
      </c>
      <c r="D610" s="78">
        <v>25000</v>
      </c>
      <c r="E610" s="76">
        <f t="shared" si="4"/>
        <v>25015</v>
      </c>
    </row>
    <row r="611" spans="2:5" ht="15" x14ac:dyDescent="0.2">
      <c r="B611" s="8" t="s">
        <v>313</v>
      </c>
      <c r="C611" s="8" t="s">
        <v>3</v>
      </c>
      <c r="D611" s="78">
        <v>45000</v>
      </c>
      <c r="E611" s="76">
        <f t="shared" si="4"/>
        <v>45015</v>
      </c>
    </row>
    <row r="612" spans="2:5" ht="15" x14ac:dyDescent="0.2">
      <c r="B612" s="8" t="s">
        <v>315</v>
      </c>
      <c r="C612" s="8" t="s">
        <v>3</v>
      </c>
      <c r="D612" s="78">
        <v>23000</v>
      </c>
      <c r="E612" s="76">
        <f t="shared" si="4"/>
        <v>23015</v>
      </c>
    </row>
    <row r="613" spans="2:5" ht="15" x14ac:dyDescent="0.2">
      <c r="B613" s="8" t="s">
        <v>317</v>
      </c>
      <c r="C613" s="8" t="s">
        <v>3</v>
      </c>
      <c r="D613" s="78">
        <v>41000</v>
      </c>
      <c r="E613" s="76">
        <f t="shared" si="4"/>
        <v>41015</v>
      </c>
    </row>
    <row r="614" spans="2:5" ht="15" x14ac:dyDescent="0.2">
      <c r="B614" s="8" t="s">
        <v>319</v>
      </c>
      <c r="C614" s="8" t="s">
        <v>37</v>
      </c>
      <c r="D614" s="78">
        <v>30000</v>
      </c>
      <c r="E614" s="76">
        <f t="shared" si="4"/>
        <v>30015</v>
      </c>
    </row>
    <row r="615" spans="2:5" ht="15" x14ac:dyDescent="0.2">
      <c r="B615" s="8" t="s">
        <v>321</v>
      </c>
      <c r="C615" s="8" t="s">
        <v>6</v>
      </c>
      <c r="D615" s="78">
        <v>121500</v>
      </c>
      <c r="E615" s="76">
        <f t="shared" si="4"/>
        <v>121515</v>
      </c>
    </row>
    <row r="616" spans="2:5" ht="15" x14ac:dyDescent="0.2">
      <c r="B616" s="8" t="s">
        <v>324</v>
      </c>
      <c r="C616" s="8" t="s">
        <v>111</v>
      </c>
      <c r="D616" s="79">
        <v>28000</v>
      </c>
      <c r="E616" s="76">
        <f t="shared" si="4"/>
        <v>28015</v>
      </c>
    </row>
    <row r="617" spans="2:5" ht="15" x14ac:dyDescent="0.2">
      <c r="B617" s="8" t="s">
        <v>325</v>
      </c>
      <c r="C617" s="8" t="s">
        <v>3</v>
      </c>
      <c r="D617" s="76">
        <v>28000</v>
      </c>
      <c r="E617" s="76">
        <f t="shared" si="4"/>
        <v>28015</v>
      </c>
    </row>
    <row r="618" spans="2:5" ht="15" x14ac:dyDescent="0.2">
      <c r="B618" s="8" t="s">
        <v>327</v>
      </c>
      <c r="C618" s="8" t="s">
        <v>6</v>
      </c>
      <c r="D618" s="76">
        <v>22000</v>
      </c>
      <c r="E618" s="76">
        <f t="shared" si="4"/>
        <v>22015</v>
      </c>
    </row>
    <row r="619" spans="2:5" ht="15" x14ac:dyDescent="0.2">
      <c r="B619" s="8" t="s">
        <v>329</v>
      </c>
      <c r="C619" s="8" t="s">
        <v>6</v>
      </c>
      <c r="D619" s="76">
        <v>31500</v>
      </c>
      <c r="E619" s="76">
        <f t="shared" si="4"/>
        <v>31515</v>
      </c>
    </row>
    <row r="620" spans="2:5" ht="15" x14ac:dyDescent="0.2">
      <c r="B620" s="8" t="s">
        <v>331</v>
      </c>
      <c r="C620" s="8" t="s">
        <v>6</v>
      </c>
      <c r="D620" s="76">
        <v>44000</v>
      </c>
      <c r="E620" s="76">
        <f t="shared" si="4"/>
        <v>44015</v>
      </c>
    </row>
    <row r="621" spans="2:5" ht="15" x14ac:dyDescent="0.2">
      <c r="B621" s="8" t="s">
        <v>333</v>
      </c>
      <c r="C621" s="8" t="s">
        <v>6</v>
      </c>
      <c r="D621" s="76">
        <v>178000</v>
      </c>
      <c r="E621" s="76">
        <f t="shared" si="4"/>
        <v>178015</v>
      </c>
    </row>
    <row r="622" spans="2:5" ht="15" x14ac:dyDescent="0.2">
      <c r="B622" s="8" t="s">
        <v>335</v>
      </c>
      <c r="C622" s="8" t="s">
        <v>6</v>
      </c>
      <c r="D622" s="76">
        <v>140000</v>
      </c>
      <c r="E622" s="76">
        <f t="shared" si="4"/>
        <v>140015</v>
      </c>
    </row>
    <row r="623" spans="2:5" ht="15" x14ac:dyDescent="0.2">
      <c r="B623" s="8" t="s">
        <v>337</v>
      </c>
      <c r="C623" s="8" t="s">
        <v>37</v>
      </c>
      <c r="D623" s="76">
        <v>125000</v>
      </c>
      <c r="E623" s="76">
        <f t="shared" ref="E623:E786" si="5">D623+15</f>
        <v>125015</v>
      </c>
    </row>
    <row r="624" spans="2:5" ht="15" x14ac:dyDescent="0.2">
      <c r="B624" s="8" t="s">
        <v>339</v>
      </c>
      <c r="C624" s="8" t="s">
        <v>3</v>
      </c>
      <c r="D624" s="76">
        <v>14000</v>
      </c>
      <c r="E624" s="76">
        <f t="shared" si="5"/>
        <v>14015</v>
      </c>
    </row>
    <row r="625" spans="2:5" ht="15" x14ac:dyDescent="0.2">
      <c r="B625" s="8" t="s">
        <v>341</v>
      </c>
      <c r="C625" s="8" t="s">
        <v>6</v>
      </c>
      <c r="D625" s="76">
        <v>145000</v>
      </c>
      <c r="E625" s="76">
        <f t="shared" si="5"/>
        <v>145015</v>
      </c>
    </row>
    <row r="626" spans="2:5" ht="15" x14ac:dyDescent="0.2">
      <c r="B626" s="8" t="s">
        <v>343</v>
      </c>
      <c r="C626" s="8" t="s">
        <v>3</v>
      </c>
      <c r="D626" s="76">
        <v>30500</v>
      </c>
      <c r="E626" s="76">
        <f t="shared" si="5"/>
        <v>30515</v>
      </c>
    </row>
    <row r="627" spans="2:5" ht="15" x14ac:dyDescent="0.2">
      <c r="B627" s="8" t="s">
        <v>345</v>
      </c>
      <c r="C627" s="8" t="s">
        <v>6</v>
      </c>
      <c r="D627" s="76">
        <v>40000</v>
      </c>
      <c r="E627" s="76">
        <f t="shared" si="5"/>
        <v>40015</v>
      </c>
    </row>
    <row r="628" spans="2:5" ht="15" x14ac:dyDescent="0.2">
      <c r="B628" s="8" t="s">
        <v>347</v>
      </c>
      <c r="C628" s="8" t="s">
        <v>6</v>
      </c>
      <c r="D628" s="76">
        <v>14600</v>
      </c>
      <c r="E628" s="76">
        <f t="shared" si="5"/>
        <v>14615</v>
      </c>
    </row>
    <row r="629" spans="2:5" ht="15" x14ac:dyDescent="0.2">
      <c r="B629" s="8" t="s">
        <v>349</v>
      </c>
      <c r="C629" s="8" t="s">
        <v>45</v>
      </c>
      <c r="D629" s="76">
        <v>260000</v>
      </c>
      <c r="E629" s="76">
        <f t="shared" si="5"/>
        <v>260015</v>
      </c>
    </row>
    <row r="630" spans="2:5" ht="15" x14ac:dyDescent="0.2">
      <c r="B630" s="8" t="s">
        <v>351</v>
      </c>
      <c r="C630" s="8" t="s">
        <v>6</v>
      </c>
      <c r="D630" s="76">
        <v>125000</v>
      </c>
      <c r="E630" s="76">
        <f t="shared" si="5"/>
        <v>125015</v>
      </c>
    </row>
    <row r="631" spans="2:5" ht="15" x14ac:dyDescent="0.2">
      <c r="B631" s="8" t="s">
        <v>353</v>
      </c>
      <c r="C631" s="8" t="s">
        <v>6</v>
      </c>
      <c r="D631" s="76">
        <v>340000</v>
      </c>
      <c r="E631" s="76">
        <f t="shared" si="5"/>
        <v>340015</v>
      </c>
    </row>
    <row r="632" spans="2:5" ht="15" x14ac:dyDescent="0.2">
      <c r="B632" s="8" t="s">
        <v>355</v>
      </c>
      <c r="C632" s="8" t="s">
        <v>3</v>
      </c>
      <c r="D632" s="76">
        <v>55000</v>
      </c>
      <c r="E632" s="76">
        <f t="shared" si="5"/>
        <v>55015</v>
      </c>
    </row>
    <row r="633" spans="2:5" ht="15" x14ac:dyDescent="0.2">
      <c r="B633" s="8" t="s">
        <v>357</v>
      </c>
      <c r="C633" s="8" t="s">
        <v>101</v>
      </c>
      <c r="D633" s="76">
        <v>31600</v>
      </c>
      <c r="E633" s="76">
        <f t="shared" si="5"/>
        <v>31615</v>
      </c>
    </row>
    <row r="634" spans="2:5" ht="15" x14ac:dyDescent="0.2">
      <c r="B634" s="8" t="s">
        <v>359</v>
      </c>
      <c r="C634" s="8" t="s">
        <v>6</v>
      </c>
      <c r="D634" s="76">
        <v>230000</v>
      </c>
      <c r="E634" s="76">
        <f t="shared" si="5"/>
        <v>230015</v>
      </c>
    </row>
    <row r="635" spans="2:5" ht="15" x14ac:dyDescent="0.2">
      <c r="B635" s="8" t="s">
        <v>361</v>
      </c>
      <c r="C635" s="8" t="s">
        <v>101</v>
      </c>
      <c r="D635" s="76">
        <v>26000</v>
      </c>
      <c r="E635" s="76">
        <f t="shared" si="5"/>
        <v>26015</v>
      </c>
    </row>
    <row r="636" spans="2:5" ht="15" x14ac:dyDescent="0.2">
      <c r="B636" s="8" t="s">
        <v>363</v>
      </c>
      <c r="C636" s="8" t="s">
        <v>6</v>
      </c>
      <c r="D636" s="76">
        <v>304000</v>
      </c>
      <c r="E636" s="76">
        <f t="shared" si="5"/>
        <v>304015</v>
      </c>
    </row>
    <row r="637" spans="2:5" ht="15" x14ac:dyDescent="0.2">
      <c r="B637" s="8" t="s">
        <v>365</v>
      </c>
      <c r="C637" s="8" t="s">
        <v>6</v>
      </c>
      <c r="D637" s="76">
        <v>97000</v>
      </c>
      <c r="E637" s="76">
        <f t="shared" si="5"/>
        <v>97015</v>
      </c>
    </row>
    <row r="638" spans="2:5" ht="15" x14ac:dyDescent="0.2">
      <c r="B638" s="74"/>
      <c r="C638" s="74"/>
      <c r="D638" s="76"/>
      <c r="E638" s="76"/>
    </row>
    <row r="639" spans="2:5" ht="15" x14ac:dyDescent="0.2">
      <c r="B639" s="74"/>
      <c r="C639" s="74"/>
      <c r="D639" s="76"/>
      <c r="E639" s="76"/>
    </row>
    <row r="640" spans="2:5" ht="15" x14ac:dyDescent="0.2">
      <c r="B640" s="74"/>
      <c r="C640" s="74"/>
      <c r="D640" s="76"/>
      <c r="E640" s="76"/>
    </row>
    <row r="641" spans="2:5" ht="15" x14ac:dyDescent="0.2">
      <c r="B641" s="74"/>
      <c r="C641" s="74"/>
      <c r="D641" s="76"/>
      <c r="E641" s="76"/>
    </row>
    <row r="642" spans="2:5" ht="15" x14ac:dyDescent="0.2">
      <c r="B642" s="74"/>
      <c r="C642" s="74"/>
      <c r="D642" s="76"/>
      <c r="E642" s="76"/>
    </row>
    <row r="643" spans="2:5" ht="15" x14ac:dyDescent="0.2">
      <c r="B643" s="74"/>
      <c r="C643" s="74"/>
      <c r="D643" s="76"/>
      <c r="E643" s="76"/>
    </row>
    <row r="644" spans="2:5" ht="15" x14ac:dyDescent="0.2">
      <c r="B644" s="74"/>
      <c r="C644" s="74"/>
      <c r="D644" s="76"/>
      <c r="E644" s="76"/>
    </row>
    <row r="645" spans="2:5" ht="15" x14ac:dyDescent="0.2">
      <c r="B645" s="74"/>
      <c r="C645" s="74"/>
      <c r="D645" s="76"/>
      <c r="E645" s="76"/>
    </row>
    <row r="646" spans="2:5" ht="15" x14ac:dyDescent="0.2">
      <c r="B646" s="74"/>
      <c r="C646" s="74"/>
      <c r="D646" s="76"/>
      <c r="E646" s="76"/>
    </row>
    <row r="647" spans="2:5" ht="15" x14ac:dyDescent="0.2">
      <c r="B647" s="74"/>
      <c r="C647" s="74"/>
      <c r="D647" s="76"/>
      <c r="E647" s="76"/>
    </row>
    <row r="648" spans="2:5" ht="15" x14ac:dyDescent="0.2">
      <c r="B648" s="74"/>
      <c r="C648" s="74"/>
      <c r="D648" s="76"/>
      <c r="E648" s="76"/>
    </row>
    <row r="649" spans="2:5" ht="15" x14ac:dyDescent="0.2">
      <c r="B649" s="74"/>
      <c r="C649" s="74"/>
      <c r="D649" s="76"/>
      <c r="E649" s="76"/>
    </row>
    <row r="650" spans="2:5" ht="15" x14ac:dyDescent="0.2">
      <c r="B650" s="74"/>
      <c r="C650" s="74"/>
      <c r="D650" s="76"/>
      <c r="E650" s="76"/>
    </row>
    <row r="651" spans="2:5" ht="15" x14ac:dyDescent="0.2">
      <c r="B651" s="74"/>
      <c r="C651" s="74"/>
      <c r="D651" s="76"/>
      <c r="E651" s="76"/>
    </row>
    <row r="652" spans="2:5" ht="15" x14ac:dyDescent="0.2">
      <c r="B652" s="74"/>
      <c r="C652" s="74"/>
      <c r="D652" s="76"/>
      <c r="E652" s="76"/>
    </row>
    <row r="653" spans="2:5" ht="15" x14ac:dyDescent="0.2">
      <c r="B653" s="74"/>
      <c r="C653" s="74"/>
      <c r="D653" s="76"/>
      <c r="E653" s="76"/>
    </row>
    <row r="654" spans="2:5" ht="15" x14ac:dyDescent="0.2">
      <c r="B654" s="74"/>
      <c r="C654" s="74"/>
      <c r="D654" s="76"/>
      <c r="E654" s="76"/>
    </row>
    <row r="655" spans="2:5" ht="15" x14ac:dyDescent="0.2">
      <c r="B655" s="74"/>
      <c r="C655" s="74"/>
      <c r="D655" s="76"/>
      <c r="E655" s="76"/>
    </row>
    <row r="656" spans="2:5" ht="15" x14ac:dyDescent="0.2">
      <c r="B656" s="74"/>
      <c r="C656" s="74"/>
      <c r="D656" s="76"/>
      <c r="E656" s="76"/>
    </row>
    <row r="657" spans="2:5" ht="15" x14ac:dyDescent="0.2">
      <c r="B657" s="74"/>
      <c r="C657" s="74"/>
      <c r="D657" s="76"/>
      <c r="E657" s="76"/>
    </row>
    <row r="658" spans="2:5" ht="15" x14ac:dyDescent="0.2">
      <c r="B658" s="74"/>
      <c r="C658" s="74"/>
      <c r="D658" s="76"/>
      <c r="E658" s="76"/>
    </row>
    <row r="659" spans="2:5" ht="15" x14ac:dyDescent="0.2">
      <c r="B659" s="74"/>
      <c r="C659" s="74"/>
      <c r="D659" s="76"/>
      <c r="E659" s="76"/>
    </row>
    <row r="660" spans="2:5" ht="15" x14ac:dyDescent="0.2">
      <c r="B660" s="74"/>
      <c r="C660" s="74"/>
      <c r="D660" s="76"/>
      <c r="E660" s="76"/>
    </row>
    <row r="661" spans="2:5" ht="15" x14ac:dyDescent="0.2">
      <c r="B661" s="74"/>
      <c r="C661" s="74"/>
      <c r="D661" s="76"/>
      <c r="E661" s="76"/>
    </row>
    <row r="662" spans="2:5" ht="15" x14ac:dyDescent="0.2">
      <c r="B662" s="74"/>
      <c r="C662" s="74"/>
      <c r="D662" s="76"/>
      <c r="E662" s="76"/>
    </row>
    <row r="663" spans="2:5" ht="15" x14ac:dyDescent="0.2">
      <c r="B663" s="74"/>
      <c r="C663" s="74"/>
      <c r="D663" s="76"/>
      <c r="E663" s="76"/>
    </row>
    <row r="664" spans="2:5" ht="15" x14ac:dyDescent="0.2">
      <c r="B664" s="74"/>
      <c r="C664" s="74"/>
      <c r="D664" s="76"/>
      <c r="E664" s="76"/>
    </row>
    <row r="665" spans="2:5" ht="15" x14ac:dyDescent="0.2">
      <c r="B665" s="74"/>
      <c r="C665" s="74"/>
      <c r="D665" s="76"/>
      <c r="E665" s="76"/>
    </row>
    <row r="666" spans="2:5" ht="15" x14ac:dyDescent="0.2">
      <c r="B666" s="74"/>
      <c r="C666" s="74"/>
      <c r="D666" s="76"/>
      <c r="E666" s="76"/>
    </row>
    <row r="667" spans="2:5" ht="15" x14ac:dyDescent="0.2">
      <c r="B667" s="74"/>
      <c r="C667" s="74"/>
      <c r="D667" s="76"/>
      <c r="E667" s="76"/>
    </row>
    <row r="668" spans="2:5" ht="15" x14ac:dyDescent="0.2">
      <c r="B668" s="74"/>
      <c r="C668" s="74"/>
      <c r="D668" s="76"/>
      <c r="E668" s="76"/>
    </row>
    <row r="669" spans="2:5" ht="15" x14ac:dyDescent="0.2">
      <c r="B669" s="74"/>
      <c r="C669" s="74"/>
      <c r="D669" s="76"/>
      <c r="E669" s="76"/>
    </row>
    <row r="670" spans="2:5" ht="15" x14ac:dyDescent="0.2">
      <c r="B670" s="74"/>
      <c r="C670" s="74"/>
      <c r="D670" s="76"/>
      <c r="E670" s="76"/>
    </row>
    <row r="671" spans="2:5" ht="15" x14ac:dyDescent="0.2">
      <c r="B671" s="74"/>
      <c r="C671" s="74"/>
      <c r="D671" s="76"/>
      <c r="E671" s="76"/>
    </row>
    <row r="672" spans="2:5" ht="15" x14ac:dyDescent="0.2">
      <c r="B672" s="74"/>
      <c r="C672" s="74"/>
      <c r="D672" s="76"/>
      <c r="E672" s="76"/>
    </row>
    <row r="673" spans="2:5" ht="15" x14ac:dyDescent="0.2">
      <c r="B673" s="74"/>
      <c r="C673" s="74"/>
      <c r="D673" s="76"/>
      <c r="E673" s="76"/>
    </row>
    <row r="674" spans="2:5" ht="15" x14ac:dyDescent="0.2">
      <c r="B674" s="74"/>
      <c r="C674" s="74"/>
      <c r="D674" s="76"/>
      <c r="E674" s="76"/>
    </row>
    <row r="675" spans="2:5" ht="15" x14ac:dyDescent="0.2">
      <c r="B675" s="74"/>
      <c r="C675" s="74"/>
      <c r="D675" s="76"/>
      <c r="E675" s="76"/>
    </row>
    <row r="676" spans="2:5" ht="15" x14ac:dyDescent="0.2">
      <c r="B676" s="74"/>
      <c r="C676" s="74"/>
      <c r="D676" s="76"/>
      <c r="E676" s="76"/>
    </row>
    <row r="677" spans="2:5" ht="15" x14ac:dyDescent="0.2">
      <c r="B677" s="74"/>
      <c r="C677" s="74"/>
      <c r="D677" s="76"/>
      <c r="E677" s="76"/>
    </row>
    <row r="678" spans="2:5" ht="15" x14ac:dyDescent="0.2">
      <c r="B678" s="74"/>
      <c r="C678" s="74"/>
      <c r="D678" s="76"/>
      <c r="E678" s="76"/>
    </row>
    <row r="679" spans="2:5" ht="15" x14ac:dyDescent="0.2">
      <c r="B679" s="74"/>
      <c r="C679" s="74"/>
      <c r="D679" s="76"/>
      <c r="E679" s="76"/>
    </row>
    <row r="680" spans="2:5" ht="15" x14ac:dyDescent="0.2">
      <c r="B680" s="74"/>
      <c r="C680" s="74"/>
      <c r="D680" s="76"/>
      <c r="E680" s="76"/>
    </row>
    <row r="681" spans="2:5" ht="15" x14ac:dyDescent="0.2">
      <c r="B681" s="74"/>
      <c r="C681" s="74"/>
      <c r="D681" s="76"/>
      <c r="E681" s="76"/>
    </row>
    <row r="682" spans="2:5" ht="15" x14ac:dyDescent="0.2">
      <c r="B682" s="74"/>
      <c r="C682" s="74"/>
      <c r="D682" s="76"/>
      <c r="E682" s="76"/>
    </row>
    <row r="683" spans="2:5" ht="15" x14ac:dyDescent="0.2">
      <c r="B683" s="74"/>
      <c r="C683" s="74"/>
      <c r="D683" s="76"/>
      <c r="E683" s="76"/>
    </row>
    <row r="684" spans="2:5" ht="15" x14ac:dyDescent="0.2">
      <c r="B684" s="74"/>
      <c r="C684" s="74"/>
      <c r="D684" s="76"/>
      <c r="E684" s="76"/>
    </row>
    <row r="685" spans="2:5" ht="15" x14ac:dyDescent="0.2">
      <c r="B685" s="74"/>
      <c r="C685" s="74"/>
      <c r="D685" s="76"/>
      <c r="E685" s="76"/>
    </row>
    <row r="686" spans="2:5" ht="15" x14ac:dyDescent="0.2">
      <c r="B686" s="74"/>
      <c r="C686" s="74"/>
      <c r="D686" s="76"/>
      <c r="E686" s="76"/>
    </row>
    <row r="687" spans="2:5" ht="15" x14ac:dyDescent="0.2">
      <c r="B687" s="74"/>
      <c r="C687" s="74"/>
      <c r="D687" s="76"/>
      <c r="E687" s="76"/>
    </row>
    <row r="688" spans="2:5" ht="15" x14ac:dyDescent="0.2">
      <c r="B688" s="74"/>
      <c r="C688" s="74"/>
      <c r="D688" s="76"/>
      <c r="E688" s="76"/>
    </row>
    <row r="689" spans="2:5" ht="15" x14ac:dyDescent="0.2">
      <c r="B689" s="74"/>
      <c r="C689" s="74"/>
      <c r="D689" s="76"/>
      <c r="E689" s="76"/>
    </row>
    <row r="690" spans="2:5" ht="15" x14ac:dyDescent="0.2">
      <c r="B690" s="74"/>
      <c r="C690" s="74"/>
      <c r="D690" s="76"/>
      <c r="E690" s="76"/>
    </row>
    <row r="691" spans="2:5" ht="15" x14ac:dyDescent="0.2">
      <c r="B691" s="74"/>
      <c r="C691" s="74"/>
      <c r="D691" s="76"/>
      <c r="E691" s="76"/>
    </row>
    <row r="692" spans="2:5" ht="15" x14ac:dyDescent="0.2">
      <c r="B692" s="74"/>
      <c r="C692" s="74"/>
      <c r="D692" s="76"/>
      <c r="E692" s="76"/>
    </row>
    <row r="693" spans="2:5" ht="15" x14ac:dyDescent="0.2">
      <c r="B693" s="74"/>
      <c r="C693" s="74"/>
      <c r="D693" s="76"/>
      <c r="E693" s="76"/>
    </row>
    <row r="694" spans="2:5" ht="15" x14ac:dyDescent="0.2">
      <c r="B694" s="74"/>
      <c r="C694" s="74"/>
      <c r="D694" s="76"/>
      <c r="E694" s="76"/>
    </row>
    <row r="695" spans="2:5" ht="15" x14ac:dyDescent="0.2">
      <c r="B695" s="74"/>
      <c r="C695" s="74"/>
      <c r="D695" s="76"/>
      <c r="E695" s="76"/>
    </row>
    <row r="696" spans="2:5" ht="15" x14ac:dyDescent="0.2">
      <c r="B696" s="74"/>
      <c r="C696" s="74"/>
      <c r="D696" s="76"/>
      <c r="E696" s="76"/>
    </row>
    <row r="697" spans="2:5" ht="15" x14ac:dyDescent="0.2">
      <c r="B697" s="74"/>
      <c r="C697" s="74"/>
      <c r="D697" s="76"/>
      <c r="E697" s="76"/>
    </row>
    <row r="698" spans="2:5" ht="15" x14ac:dyDescent="0.2">
      <c r="B698" s="74"/>
      <c r="C698" s="74"/>
      <c r="D698" s="76"/>
      <c r="E698" s="76"/>
    </row>
    <row r="699" spans="2:5" ht="15" x14ac:dyDescent="0.2">
      <c r="B699" s="74"/>
      <c r="C699" s="74"/>
      <c r="D699" s="76"/>
      <c r="E699" s="76"/>
    </row>
    <row r="700" spans="2:5" ht="15" x14ac:dyDescent="0.2">
      <c r="B700" s="74"/>
      <c r="C700" s="74"/>
      <c r="D700" s="76"/>
      <c r="E700" s="76"/>
    </row>
    <row r="701" spans="2:5" ht="15" x14ac:dyDescent="0.2">
      <c r="B701" s="74"/>
      <c r="C701" s="74"/>
      <c r="D701" s="76"/>
      <c r="E701" s="76"/>
    </row>
    <row r="702" spans="2:5" ht="15" x14ac:dyDescent="0.2">
      <c r="B702" s="74"/>
      <c r="C702" s="74"/>
      <c r="D702" s="76"/>
      <c r="E702" s="76"/>
    </row>
    <row r="703" spans="2:5" ht="15" x14ac:dyDescent="0.2">
      <c r="B703" s="74"/>
      <c r="C703" s="74"/>
      <c r="D703" s="76"/>
      <c r="E703" s="76"/>
    </row>
    <row r="704" spans="2:5" ht="15" x14ac:dyDescent="0.2">
      <c r="B704" s="74"/>
      <c r="C704" s="74"/>
      <c r="D704" s="76"/>
      <c r="E704" s="76"/>
    </row>
    <row r="705" spans="2:5" ht="15" x14ac:dyDescent="0.2">
      <c r="B705" s="74"/>
      <c r="C705" s="74"/>
      <c r="D705" s="76"/>
      <c r="E705" s="76"/>
    </row>
    <row r="706" spans="2:5" ht="15" x14ac:dyDescent="0.2">
      <c r="B706" s="74"/>
      <c r="C706" s="74"/>
      <c r="D706" s="76"/>
      <c r="E706" s="76"/>
    </row>
    <row r="707" spans="2:5" ht="15" x14ac:dyDescent="0.2">
      <c r="B707" s="74"/>
      <c r="C707" s="74"/>
      <c r="D707" s="76"/>
      <c r="E707" s="76"/>
    </row>
    <row r="708" spans="2:5" ht="15" x14ac:dyDescent="0.2">
      <c r="B708" s="74"/>
      <c r="C708" s="74"/>
      <c r="D708" s="76"/>
      <c r="E708" s="76"/>
    </row>
    <row r="709" spans="2:5" ht="15" x14ac:dyDescent="0.2">
      <c r="B709" s="74"/>
      <c r="C709" s="74"/>
      <c r="D709" s="76"/>
      <c r="E709" s="76"/>
    </row>
    <row r="710" spans="2:5" ht="15" x14ac:dyDescent="0.2">
      <c r="B710" s="74"/>
      <c r="C710" s="74"/>
      <c r="D710" s="76"/>
      <c r="E710" s="76"/>
    </row>
    <row r="711" spans="2:5" ht="15" x14ac:dyDescent="0.2">
      <c r="B711" s="74"/>
      <c r="C711" s="74"/>
      <c r="D711" s="76"/>
      <c r="E711" s="76"/>
    </row>
    <row r="712" spans="2:5" ht="15" x14ac:dyDescent="0.2">
      <c r="B712" s="74"/>
      <c r="C712" s="74"/>
      <c r="D712" s="76"/>
      <c r="E712" s="76"/>
    </row>
    <row r="713" spans="2:5" ht="15" x14ac:dyDescent="0.2">
      <c r="B713" s="74"/>
      <c r="C713" s="74"/>
      <c r="D713" s="76"/>
      <c r="E713" s="76"/>
    </row>
    <row r="714" spans="2:5" ht="15" x14ac:dyDescent="0.2">
      <c r="B714" s="74"/>
      <c r="C714" s="74"/>
      <c r="D714" s="76"/>
      <c r="E714" s="76"/>
    </row>
    <row r="715" spans="2:5" ht="15" x14ac:dyDescent="0.2">
      <c r="B715" s="74"/>
      <c r="C715" s="74"/>
      <c r="D715" s="76"/>
      <c r="E715" s="76"/>
    </row>
    <row r="716" spans="2:5" ht="15" x14ac:dyDescent="0.2">
      <c r="B716" s="74"/>
      <c r="C716" s="74"/>
      <c r="D716" s="76"/>
      <c r="E716" s="76"/>
    </row>
    <row r="717" spans="2:5" ht="15" x14ac:dyDescent="0.2">
      <c r="B717" s="74"/>
      <c r="C717" s="74"/>
      <c r="D717" s="76"/>
      <c r="E717" s="76"/>
    </row>
    <row r="718" spans="2:5" ht="15" x14ac:dyDescent="0.2">
      <c r="B718" s="74"/>
      <c r="C718" s="74"/>
      <c r="D718" s="76"/>
      <c r="E718" s="76"/>
    </row>
    <row r="719" spans="2:5" ht="15" x14ac:dyDescent="0.2">
      <c r="B719" s="74"/>
      <c r="C719" s="74"/>
      <c r="D719" s="76"/>
      <c r="E719" s="76"/>
    </row>
    <row r="720" spans="2:5" ht="15" x14ac:dyDescent="0.2">
      <c r="B720" s="74"/>
      <c r="C720" s="74"/>
      <c r="D720" s="76"/>
      <c r="E720" s="76"/>
    </row>
    <row r="721" spans="2:5" ht="15" x14ac:dyDescent="0.2">
      <c r="B721" s="74"/>
      <c r="C721" s="74"/>
      <c r="D721" s="76"/>
      <c r="E721" s="76"/>
    </row>
    <row r="722" spans="2:5" ht="15" x14ac:dyDescent="0.2">
      <c r="B722" s="74"/>
      <c r="C722" s="74"/>
      <c r="D722" s="76"/>
      <c r="E722" s="76"/>
    </row>
    <row r="723" spans="2:5" ht="15" x14ac:dyDescent="0.2">
      <c r="B723" s="74"/>
      <c r="C723" s="74"/>
      <c r="D723" s="76"/>
      <c r="E723" s="76"/>
    </row>
    <row r="724" spans="2:5" ht="15" x14ac:dyDescent="0.2">
      <c r="B724" s="74"/>
      <c r="C724" s="74"/>
      <c r="D724" s="76"/>
      <c r="E724" s="76"/>
    </row>
    <row r="725" spans="2:5" ht="15" x14ac:dyDescent="0.2">
      <c r="B725" s="74"/>
      <c r="C725" s="74"/>
      <c r="D725" s="76"/>
      <c r="E725" s="76"/>
    </row>
    <row r="726" spans="2:5" ht="15" x14ac:dyDescent="0.2">
      <c r="B726" s="74"/>
      <c r="C726" s="74"/>
      <c r="D726" s="76"/>
      <c r="E726" s="76"/>
    </row>
    <row r="727" spans="2:5" ht="15" x14ac:dyDescent="0.2">
      <c r="B727" s="74"/>
      <c r="C727" s="74"/>
      <c r="D727" s="76"/>
      <c r="E727" s="76"/>
    </row>
    <row r="728" spans="2:5" ht="15" x14ac:dyDescent="0.2">
      <c r="B728" s="74"/>
      <c r="C728" s="74"/>
      <c r="D728" s="76"/>
      <c r="E728" s="76"/>
    </row>
    <row r="729" spans="2:5" ht="15" x14ac:dyDescent="0.2">
      <c r="B729" s="74"/>
      <c r="C729" s="74"/>
      <c r="D729" s="76"/>
      <c r="E729" s="76"/>
    </row>
    <row r="730" spans="2:5" ht="15" x14ac:dyDescent="0.2">
      <c r="B730" s="74"/>
      <c r="C730" s="74"/>
      <c r="D730" s="76"/>
      <c r="E730" s="76"/>
    </row>
    <row r="731" spans="2:5" ht="15" x14ac:dyDescent="0.2">
      <c r="B731" s="74"/>
      <c r="C731" s="74"/>
      <c r="D731" s="76"/>
      <c r="E731" s="76"/>
    </row>
    <row r="732" spans="2:5" ht="15" x14ac:dyDescent="0.2">
      <c r="B732" s="74"/>
      <c r="C732" s="74"/>
      <c r="D732" s="76"/>
      <c r="E732" s="76"/>
    </row>
    <row r="733" spans="2:5" ht="15" x14ac:dyDescent="0.2">
      <c r="B733" s="74"/>
      <c r="C733" s="74"/>
      <c r="D733" s="76"/>
      <c r="E733" s="76"/>
    </row>
    <row r="734" spans="2:5" ht="15" x14ac:dyDescent="0.2">
      <c r="B734" s="74"/>
      <c r="C734" s="74"/>
      <c r="D734" s="76"/>
      <c r="E734" s="76"/>
    </row>
    <row r="735" spans="2:5" ht="15" x14ac:dyDescent="0.2">
      <c r="B735" s="74"/>
      <c r="C735" s="74"/>
      <c r="D735" s="76"/>
      <c r="E735" s="76"/>
    </row>
    <row r="736" spans="2:5" ht="15" x14ac:dyDescent="0.2">
      <c r="B736" s="74"/>
      <c r="C736" s="74"/>
      <c r="D736" s="76"/>
      <c r="E736" s="76"/>
    </row>
    <row r="737" spans="1:5" ht="15" x14ac:dyDescent="0.2">
      <c r="B737" s="74"/>
      <c r="C737" s="74"/>
      <c r="D737" s="76"/>
      <c r="E737" s="76"/>
    </row>
    <row r="738" spans="1:5" ht="15" x14ac:dyDescent="0.2">
      <c r="B738" s="8"/>
      <c r="C738" s="8"/>
      <c r="D738" s="76"/>
      <c r="E738" s="76"/>
    </row>
    <row r="739" spans="1:5" ht="15" x14ac:dyDescent="0.2">
      <c r="A739" s="53" t="s">
        <v>2430</v>
      </c>
      <c r="B739" s="8" t="s">
        <v>367</v>
      </c>
      <c r="C739" s="8" t="s">
        <v>6</v>
      </c>
      <c r="D739" s="76">
        <v>147000</v>
      </c>
      <c r="E739" s="76">
        <f t="shared" si="5"/>
        <v>147015</v>
      </c>
    </row>
    <row r="740" spans="1:5" ht="15" x14ac:dyDescent="0.2">
      <c r="B740" s="8" t="s">
        <v>369</v>
      </c>
      <c r="C740" s="8" t="s">
        <v>6</v>
      </c>
      <c r="D740" s="76">
        <v>109000</v>
      </c>
      <c r="E740" s="76">
        <f t="shared" si="5"/>
        <v>109015</v>
      </c>
    </row>
    <row r="741" spans="1:5" ht="15" x14ac:dyDescent="0.2">
      <c r="B741" s="8" t="s">
        <v>371</v>
      </c>
      <c r="C741" s="8" t="s">
        <v>3</v>
      </c>
      <c r="D741" s="76">
        <v>25000</v>
      </c>
      <c r="E741" s="76">
        <f t="shared" si="5"/>
        <v>25015</v>
      </c>
    </row>
    <row r="742" spans="1:5" ht="15" x14ac:dyDescent="0.2">
      <c r="B742" s="8" t="s">
        <v>373</v>
      </c>
      <c r="C742" s="8" t="s">
        <v>3</v>
      </c>
      <c r="D742" s="76">
        <v>31000</v>
      </c>
      <c r="E742" s="76">
        <f t="shared" si="5"/>
        <v>31015</v>
      </c>
    </row>
    <row r="743" spans="1:5" ht="15" x14ac:dyDescent="0.2">
      <c r="B743" s="8" t="s">
        <v>375</v>
      </c>
      <c r="C743" s="8" t="s">
        <v>3</v>
      </c>
      <c r="D743" s="76">
        <v>25000</v>
      </c>
      <c r="E743" s="76">
        <f t="shared" si="5"/>
        <v>25015</v>
      </c>
    </row>
    <row r="744" spans="1:5" ht="15" x14ac:dyDescent="0.2">
      <c r="B744" s="8" t="s">
        <v>377</v>
      </c>
      <c r="C744" s="8" t="s">
        <v>6</v>
      </c>
      <c r="D744" s="76">
        <v>44000</v>
      </c>
      <c r="E744" s="76">
        <f t="shared" si="5"/>
        <v>44015</v>
      </c>
    </row>
    <row r="745" spans="1:5" ht="15" x14ac:dyDescent="0.2">
      <c r="B745" s="8" t="s">
        <v>379</v>
      </c>
      <c r="C745" s="8" t="s">
        <v>3</v>
      </c>
      <c r="D745" s="76">
        <v>69000</v>
      </c>
      <c r="E745" s="76">
        <f t="shared" si="5"/>
        <v>69015</v>
      </c>
    </row>
    <row r="746" spans="1:5" ht="15" x14ac:dyDescent="0.2">
      <c r="B746" s="8" t="s">
        <v>385</v>
      </c>
      <c r="C746" s="8" t="s">
        <v>6</v>
      </c>
      <c r="D746" s="76">
        <v>40000</v>
      </c>
      <c r="E746" s="76">
        <f t="shared" si="5"/>
        <v>40015</v>
      </c>
    </row>
    <row r="747" spans="1:5" ht="15" x14ac:dyDescent="0.2">
      <c r="B747" s="8" t="s">
        <v>381</v>
      </c>
      <c r="C747" s="8" t="s">
        <v>3</v>
      </c>
      <c r="D747" s="76">
        <v>58000</v>
      </c>
      <c r="E747" s="76">
        <f t="shared" si="5"/>
        <v>58015</v>
      </c>
    </row>
    <row r="748" spans="1:5" ht="15" x14ac:dyDescent="0.2">
      <c r="B748" s="8" t="s">
        <v>383</v>
      </c>
      <c r="C748" s="8" t="s">
        <v>6</v>
      </c>
      <c r="D748" s="76">
        <v>56000</v>
      </c>
      <c r="E748" s="76">
        <f t="shared" si="5"/>
        <v>56015</v>
      </c>
    </row>
    <row r="749" spans="1:5" ht="15" x14ac:dyDescent="0.2">
      <c r="B749" s="8" t="s">
        <v>387</v>
      </c>
      <c r="C749" s="8" t="s">
        <v>6</v>
      </c>
      <c r="D749" s="76">
        <v>110000</v>
      </c>
      <c r="E749" s="76">
        <f t="shared" si="5"/>
        <v>110015</v>
      </c>
    </row>
    <row r="750" spans="1:5" ht="15" x14ac:dyDescent="0.2">
      <c r="B750" s="8" t="s">
        <v>389</v>
      </c>
      <c r="C750" s="8" t="s">
        <v>6</v>
      </c>
      <c r="D750" s="76">
        <v>36000</v>
      </c>
      <c r="E750" s="76">
        <f t="shared" si="5"/>
        <v>36015</v>
      </c>
    </row>
    <row r="751" spans="1:5" ht="15" x14ac:dyDescent="0.2">
      <c r="B751" s="8" t="s">
        <v>391</v>
      </c>
      <c r="C751" s="8" t="s">
        <v>6</v>
      </c>
      <c r="D751" s="76">
        <v>82000</v>
      </c>
      <c r="E751" s="76">
        <f t="shared" si="5"/>
        <v>82015</v>
      </c>
    </row>
    <row r="752" spans="1:5" ht="15" x14ac:dyDescent="0.2">
      <c r="B752" s="8" t="s">
        <v>393</v>
      </c>
      <c r="C752" s="8" t="s">
        <v>37</v>
      </c>
      <c r="D752" s="76">
        <v>32000</v>
      </c>
      <c r="E752" s="76">
        <f t="shared" si="5"/>
        <v>32015</v>
      </c>
    </row>
    <row r="753" spans="2:5" ht="15" x14ac:dyDescent="0.2">
      <c r="B753" s="8" t="s">
        <v>395</v>
      </c>
      <c r="C753" s="8" t="s">
        <v>6</v>
      </c>
      <c r="D753" s="76">
        <v>36000</v>
      </c>
      <c r="E753" s="76">
        <f t="shared" si="5"/>
        <v>36015</v>
      </c>
    </row>
    <row r="754" spans="2:5" ht="15" x14ac:dyDescent="0.2">
      <c r="B754" s="8" t="s">
        <v>397</v>
      </c>
      <c r="C754" s="8" t="s">
        <v>6</v>
      </c>
      <c r="D754" s="76">
        <v>18000</v>
      </c>
      <c r="E754" s="76">
        <f t="shared" si="5"/>
        <v>18015</v>
      </c>
    </row>
    <row r="755" spans="2:5" ht="15" x14ac:dyDescent="0.2">
      <c r="B755" s="8" t="s">
        <v>399</v>
      </c>
      <c r="C755" s="8" t="s">
        <v>6</v>
      </c>
      <c r="D755" s="76">
        <v>17000</v>
      </c>
      <c r="E755" s="76">
        <f t="shared" si="5"/>
        <v>17015</v>
      </c>
    </row>
    <row r="756" spans="2:5" ht="15" x14ac:dyDescent="0.2">
      <c r="B756" s="8" t="s">
        <v>401</v>
      </c>
      <c r="C756" s="8" t="s">
        <v>6</v>
      </c>
      <c r="D756" s="76">
        <v>10500</v>
      </c>
      <c r="E756" s="76">
        <f t="shared" si="5"/>
        <v>10515</v>
      </c>
    </row>
    <row r="757" spans="2:5" ht="15" x14ac:dyDescent="0.2">
      <c r="B757" s="8" t="s">
        <v>403</v>
      </c>
      <c r="C757" s="8" t="s">
        <v>6</v>
      </c>
      <c r="D757" s="76">
        <v>8500</v>
      </c>
      <c r="E757" s="76">
        <f t="shared" si="5"/>
        <v>8515</v>
      </c>
    </row>
    <row r="758" spans="2:5" ht="15" x14ac:dyDescent="0.2">
      <c r="B758" s="8" t="s">
        <v>405</v>
      </c>
      <c r="C758" s="8" t="s">
        <v>6</v>
      </c>
      <c r="D758" s="76">
        <v>30000</v>
      </c>
      <c r="E758" s="76">
        <f t="shared" si="5"/>
        <v>30015</v>
      </c>
    </row>
    <row r="759" spans="2:5" ht="15" x14ac:dyDescent="0.2">
      <c r="B759" s="8" t="s">
        <v>407</v>
      </c>
      <c r="C759" s="8" t="s">
        <v>37</v>
      </c>
      <c r="D759" s="76">
        <v>190000</v>
      </c>
      <c r="E759" s="76">
        <f t="shared" si="5"/>
        <v>190015</v>
      </c>
    </row>
    <row r="760" spans="2:5" ht="15" x14ac:dyDescent="0.2">
      <c r="B760" s="8" t="s">
        <v>409</v>
      </c>
      <c r="C760" s="8" t="s">
        <v>3</v>
      </c>
      <c r="D760" s="76">
        <v>34500</v>
      </c>
      <c r="E760" s="76">
        <f t="shared" si="5"/>
        <v>34515</v>
      </c>
    </row>
    <row r="761" spans="2:5" ht="15" x14ac:dyDescent="0.2">
      <c r="B761" s="8" t="s">
        <v>411</v>
      </c>
      <c r="C761" s="8" t="s">
        <v>6</v>
      </c>
      <c r="D761" s="76">
        <v>198600</v>
      </c>
      <c r="E761" s="76">
        <f t="shared" si="5"/>
        <v>198615</v>
      </c>
    </row>
    <row r="762" spans="2:5" ht="15" x14ac:dyDescent="0.2">
      <c r="B762" s="8" t="s">
        <v>413</v>
      </c>
      <c r="C762" s="8" t="s">
        <v>6</v>
      </c>
      <c r="D762" s="76">
        <v>189000</v>
      </c>
      <c r="E762" s="76">
        <f t="shared" si="5"/>
        <v>189015</v>
      </c>
    </row>
    <row r="763" spans="2:5" ht="15" x14ac:dyDescent="0.2">
      <c r="B763" s="8" t="s">
        <v>415</v>
      </c>
      <c r="C763" s="8" t="s">
        <v>6</v>
      </c>
      <c r="D763" s="76">
        <v>69000</v>
      </c>
      <c r="E763" s="76">
        <f t="shared" si="5"/>
        <v>69015</v>
      </c>
    </row>
    <row r="764" spans="2:5" ht="15" x14ac:dyDescent="0.2">
      <c r="B764" s="8" t="s">
        <v>419</v>
      </c>
      <c r="C764" s="8" t="s">
        <v>3</v>
      </c>
      <c r="D764" s="76">
        <v>36000</v>
      </c>
      <c r="E764" s="76">
        <f t="shared" si="5"/>
        <v>36015</v>
      </c>
    </row>
    <row r="765" spans="2:5" ht="15" x14ac:dyDescent="0.2">
      <c r="B765" s="8" t="s">
        <v>417</v>
      </c>
      <c r="C765" s="8" t="s">
        <v>37</v>
      </c>
      <c r="D765" s="76">
        <v>270000</v>
      </c>
      <c r="E765" s="76">
        <f t="shared" si="5"/>
        <v>270015</v>
      </c>
    </row>
    <row r="766" spans="2:5" ht="15" x14ac:dyDescent="0.2">
      <c r="B766" s="8" t="s">
        <v>421</v>
      </c>
      <c r="C766" s="8" t="s">
        <v>3</v>
      </c>
      <c r="D766" s="76">
        <v>78000</v>
      </c>
      <c r="E766" s="76">
        <f t="shared" si="5"/>
        <v>78015</v>
      </c>
    </row>
    <row r="767" spans="2:5" ht="15" x14ac:dyDescent="0.2">
      <c r="B767" s="8" t="s">
        <v>423</v>
      </c>
      <c r="C767" s="8" t="s">
        <v>45</v>
      </c>
      <c r="D767" s="76">
        <v>19000</v>
      </c>
      <c r="E767" s="76">
        <f t="shared" si="5"/>
        <v>19015</v>
      </c>
    </row>
    <row r="768" spans="2:5" ht="15" x14ac:dyDescent="0.2">
      <c r="B768" s="8" t="s">
        <v>425</v>
      </c>
      <c r="C768" s="8" t="s">
        <v>6</v>
      </c>
      <c r="D768" s="76">
        <v>107000</v>
      </c>
      <c r="E768" s="76">
        <f t="shared" si="5"/>
        <v>107015</v>
      </c>
    </row>
    <row r="769" spans="2:5" ht="15" x14ac:dyDescent="0.2">
      <c r="B769" s="8" t="s">
        <v>427</v>
      </c>
      <c r="C769" s="8" t="s">
        <v>323</v>
      </c>
      <c r="D769" s="77">
        <v>78000</v>
      </c>
      <c r="E769" s="76">
        <f t="shared" si="5"/>
        <v>78015</v>
      </c>
    </row>
    <row r="770" spans="2:5" ht="15" x14ac:dyDescent="0.2">
      <c r="B770" s="8" t="s">
        <v>326</v>
      </c>
      <c r="C770" s="8" t="s">
        <v>3</v>
      </c>
      <c r="D770" s="78">
        <v>16500</v>
      </c>
      <c r="E770" s="76">
        <f t="shared" si="5"/>
        <v>16515</v>
      </c>
    </row>
    <row r="771" spans="2:5" ht="15" x14ac:dyDescent="0.2">
      <c r="B771" s="8" t="s">
        <v>328</v>
      </c>
      <c r="C771" s="8" t="s">
        <v>3</v>
      </c>
      <c r="D771" s="78">
        <v>14500</v>
      </c>
      <c r="E771" s="76">
        <f t="shared" si="5"/>
        <v>14515</v>
      </c>
    </row>
    <row r="772" spans="2:5" ht="15" x14ac:dyDescent="0.2">
      <c r="B772" s="8" t="s">
        <v>330</v>
      </c>
      <c r="C772" s="8" t="s">
        <v>12</v>
      </c>
      <c r="D772" s="78">
        <v>62000</v>
      </c>
      <c r="E772" s="76">
        <f t="shared" si="5"/>
        <v>62015</v>
      </c>
    </row>
    <row r="773" spans="2:5" ht="15" x14ac:dyDescent="0.2">
      <c r="B773" s="8" t="s">
        <v>332</v>
      </c>
      <c r="C773" s="8" t="s">
        <v>3</v>
      </c>
      <c r="D773" s="78">
        <v>15000</v>
      </c>
      <c r="E773" s="76">
        <f t="shared" si="5"/>
        <v>15015</v>
      </c>
    </row>
    <row r="774" spans="2:5" ht="15" x14ac:dyDescent="0.2">
      <c r="B774" s="8" t="s">
        <v>334</v>
      </c>
      <c r="C774" s="8" t="s">
        <v>45</v>
      </c>
      <c r="D774" s="78">
        <v>82000</v>
      </c>
      <c r="E774" s="76">
        <f t="shared" si="5"/>
        <v>82015</v>
      </c>
    </row>
    <row r="775" spans="2:5" ht="15" x14ac:dyDescent="0.2">
      <c r="B775" s="8" t="s">
        <v>336</v>
      </c>
      <c r="C775" s="8" t="s">
        <v>12</v>
      </c>
      <c r="D775" s="78">
        <v>41000</v>
      </c>
      <c r="E775" s="76">
        <f t="shared" si="5"/>
        <v>41015</v>
      </c>
    </row>
    <row r="776" spans="2:5" ht="15" x14ac:dyDescent="0.2">
      <c r="B776" s="8" t="s">
        <v>338</v>
      </c>
      <c r="C776" s="8" t="s">
        <v>6</v>
      </c>
      <c r="D776" s="78">
        <v>175000</v>
      </c>
      <c r="E776" s="76">
        <f t="shared" si="5"/>
        <v>175015</v>
      </c>
    </row>
    <row r="777" spans="2:5" ht="15" x14ac:dyDescent="0.2">
      <c r="B777" s="8" t="s">
        <v>340</v>
      </c>
      <c r="C777" s="8" t="s">
        <v>6</v>
      </c>
      <c r="D777" s="78">
        <v>165000</v>
      </c>
      <c r="E777" s="76">
        <f t="shared" si="5"/>
        <v>165015</v>
      </c>
    </row>
    <row r="778" spans="2:5" ht="15" x14ac:dyDescent="0.2">
      <c r="B778" s="8" t="s">
        <v>342</v>
      </c>
      <c r="C778" s="8" t="s">
        <v>6</v>
      </c>
      <c r="D778" s="78">
        <v>50000</v>
      </c>
      <c r="E778" s="76">
        <f t="shared" si="5"/>
        <v>50015</v>
      </c>
    </row>
    <row r="779" spans="2:5" ht="15" x14ac:dyDescent="0.2">
      <c r="B779" s="8" t="s">
        <v>344</v>
      </c>
      <c r="C779" s="8" t="s">
        <v>6</v>
      </c>
      <c r="D779" s="78">
        <v>21000</v>
      </c>
      <c r="E779" s="76">
        <f t="shared" si="5"/>
        <v>21015</v>
      </c>
    </row>
    <row r="780" spans="2:5" ht="15" x14ac:dyDescent="0.2">
      <c r="B780" s="8" t="s">
        <v>346</v>
      </c>
      <c r="C780" s="8" t="s">
        <v>6</v>
      </c>
      <c r="D780" s="78">
        <v>175000</v>
      </c>
      <c r="E780" s="76">
        <f t="shared" si="5"/>
        <v>175015</v>
      </c>
    </row>
    <row r="781" spans="2:5" ht="15" x14ac:dyDescent="0.2">
      <c r="B781" s="8" t="s">
        <v>348</v>
      </c>
      <c r="C781" s="8" t="s">
        <v>6</v>
      </c>
      <c r="D781" s="78">
        <v>8500</v>
      </c>
      <c r="E781" s="76">
        <f t="shared" si="5"/>
        <v>8515</v>
      </c>
    </row>
    <row r="782" spans="2:5" ht="15" x14ac:dyDescent="0.2">
      <c r="B782" s="8" t="s">
        <v>350</v>
      </c>
      <c r="C782" s="8" t="s">
        <v>3</v>
      </c>
      <c r="D782" s="78">
        <v>35000</v>
      </c>
      <c r="E782" s="76">
        <f t="shared" si="5"/>
        <v>35015</v>
      </c>
    </row>
    <row r="783" spans="2:5" ht="15" x14ac:dyDescent="0.2">
      <c r="B783" s="8" t="s">
        <v>352</v>
      </c>
      <c r="C783" s="8" t="s">
        <v>3</v>
      </c>
      <c r="D783" s="78">
        <v>44000</v>
      </c>
      <c r="E783" s="76">
        <f t="shared" si="5"/>
        <v>44015</v>
      </c>
    </row>
    <row r="784" spans="2:5" ht="15" x14ac:dyDescent="0.2">
      <c r="B784" s="8" t="s">
        <v>354</v>
      </c>
      <c r="C784" s="8" t="s">
        <v>3</v>
      </c>
      <c r="D784" s="78">
        <v>23200</v>
      </c>
      <c r="E784" s="76">
        <f t="shared" si="5"/>
        <v>23215</v>
      </c>
    </row>
    <row r="785" spans="2:5" ht="15" x14ac:dyDescent="0.2">
      <c r="B785" s="8" t="s">
        <v>358</v>
      </c>
      <c r="C785" s="8" t="s">
        <v>3</v>
      </c>
      <c r="D785" s="78">
        <v>33500</v>
      </c>
      <c r="E785" s="76">
        <f t="shared" si="5"/>
        <v>33515</v>
      </c>
    </row>
    <row r="786" spans="2:5" ht="15" x14ac:dyDescent="0.2">
      <c r="B786" s="8" t="s">
        <v>360</v>
      </c>
      <c r="C786" s="8" t="s">
        <v>3</v>
      </c>
      <c r="D786" s="78">
        <v>29500</v>
      </c>
      <c r="E786" s="76">
        <f t="shared" si="5"/>
        <v>29515</v>
      </c>
    </row>
    <row r="787" spans="2:5" ht="15" x14ac:dyDescent="0.2">
      <c r="B787" s="8" t="s">
        <v>356</v>
      </c>
      <c r="C787" s="8" t="s">
        <v>3</v>
      </c>
      <c r="D787" s="78">
        <v>40000</v>
      </c>
      <c r="E787" s="76">
        <f t="shared" ref="E787:E950" si="6">D787+15</f>
        <v>40015</v>
      </c>
    </row>
    <row r="788" spans="2:5" ht="15" x14ac:dyDescent="0.2">
      <c r="B788" s="8" t="s">
        <v>362</v>
      </c>
      <c r="C788" s="8" t="s">
        <v>3</v>
      </c>
      <c r="D788" s="78">
        <v>24200</v>
      </c>
      <c r="E788" s="76">
        <f t="shared" si="6"/>
        <v>24215</v>
      </c>
    </row>
    <row r="789" spans="2:5" ht="15" x14ac:dyDescent="0.2">
      <c r="B789" s="8" t="s">
        <v>364</v>
      </c>
      <c r="C789" s="8" t="s">
        <v>6</v>
      </c>
      <c r="D789" s="78">
        <v>37000</v>
      </c>
      <c r="E789" s="76">
        <f t="shared" si="6"/>
        <v>37015</v>
      </c>
    </row>
    <row r="790" spans="2:5" ht="15" x14ac:dyDescent="0.2">
      <c r="B790" s="8" t="s">
        <v>366</v>
      </c>
      <c r="C790" s="8" t="s">
        <v>3</v>
      </c>
      <c r="D790" s="78">
        <v>167000</v>
      </c>
      <c r="E790" s="76">
        <f t="shared" si="6"/>
        <v>167015</v>
      </c>
    </row>
    <row r="791" spans="2:5" ht="15" x14ac:dyDescent="0.2">
      <c r="B791" s="8" t="s">
        <v>368</v>
      </c>
      <c r="C791" s="8" t="s">
        <v>3</v>
      </c>
      <c r="D791" s="78">
        <v>20000</v>
      </c>
      <c r="E791" s="76">
        <f t="shared" si="6"/>
        <v>20015</v>
      </c>
    </row>
    <row r="792" spans="2:5" ht="15" x14ac:dyDescent="0.2">
      <c r="B792" s="8" t="s">
        <v>370</v>
      </c>
      <c r="C792" s="8" t="s">
        <v>6</v>
      </c>
      <c r="D792" s="78">
        <v>94000</v>
      </c>
      <c r="E792" s="76">
        <f t="shared" si="6"/>
        <v>94015</v>
      </c>
    </row>
    <row r="793" spans="2:5" ht="15" x14ac:dyDescent="0.2">
      <c r="B793" s="8" t="s">
        <v>372</v>
      </c>
      <c r="C793" s="8" t="s">
        <v>6</v>
      </c>
      <c r="D793" s="78">
        <v>117000</v>
      </c>
      <c r="E793" s="76">
        <f t="shared" si="6"/>
        <v>117015</v>
      </c>
    </row>
    <row r="794" spans="2:5" ht="15" x14ac:dyDescent="0.2">
      <c r="B794" s="8" t="s">
        <v>374</v>
      </c>
      <c r="C794" s="8" t="s">
        <v>6</v>
      </c>
      <c r="D794" s="78">
        <v>27000</v>
      </c>
      <c r="E794" s="76">
        <f t="shared" si="6"/>
        <v>27015</v>
      </c>
    </row>
    <row r="795" spans="2:5" ht="15" x14ac:dyDescent="0.2">
      <c r="B795" s="8" t="s">
        <v>376</v>
      </c>
      <c r="C795" s="8" t="s">
        <v>12</v>
      </c>
      <c r="D795" s="78">
        <v>15500</v>
      </c>
      <c r="E795" s="76">
        <f t="shared" si="6"/>
        <v>15515</v>
      </c>
    </row>
    <row r="796" spans="2:5" ht="15" x14ac:dyDescent="0.2">
      <c r="B796" s="8" t="s">
        <v>378</v>
      </c>
      <c r="C796" s="8" t="s">
        <v>6</v>
      </c>
      <c r="D796" s="78">
        <v>4700</v>
      </c>
      <c r="E796" s="76">
        <f t="shared" si="6"/>
        <v>4715</v>
      </c>
    </row>
    <row r="797" spans="2:5" ht="15" x14ac:dyDescent="0.2">
      <c r="B797" s="8" t="s">
        <v>380</v>
      </c>
      <c r="C797" s="8" t="s">
        <v>6</v>
      </c>
      <c r="D797" s="78">
        <v>25000</v>
      </c>
      <c r="E797" s="76">
        <f t="shared" si="6"/>
        <v>25015</v>
      </c>
    </row>
    <row r="798" spans="2:5" ht="15" x14ac:dyDescent="0.2">
      <c r="B798" s="8" t="s">
        <v>382</v>
      </c>
      <c r="C798" s="8" t="s">
        <v>3</v>
      </c>
      <c r="D798" s="78">
        <v>15500</v>
      </c>
      <c r="E798" s="76">
        <f t="shared" si="6"/>
        <v>15515</v>
      </c>
    </row>
    <row r="799" spans="2:5" ht="15" x14ac:dyDescent="0.2">
      <c r="B799" s="8" t="s">
        <v>384</v>
      </c>
      <c r="C799" s="8" t="s">
        <v>3</v>
      </c>
      <c r="D799" s="78">
        <v>17500</v>
      </c>
      <c r="E799" s="76">
        <f t="shared" si="6"/>
        <v>17515</v>
      </c>
    </row>
    <row r="800" spans="2:5" ht="15" x14ac:dyDescent="0.2">
      <c r="B800" s="8" t="s">
        <v>386</v>
      </c>
      <c r="C800" s="8" t="s">
        <v>6</v>
      </c>
      <c r="D800" s="78">
        <v>22200</v>
      </c>
      <c r="E800" s="76">
        <f t="shared" si="6"/>
        <v>22215</v>
      </c>
    </row>
    <row r="801" spans="2:5" ht="15" x14ac:dyDescent="0.2">
      <c r="B801" s="8" t="s">
        <v>388</v>
      </c>
      <c r="C801" s="8" t="s">
        <v>3</v>
      </c>
      <c r="D801" s="78">
        <v>20000</v>
      </c>
      <c r="E801" s="76">
        <f t="shared" si="6"/>
        <v>20015</v>
      </c>
    </row>
    <row r="802" spans="2:5" ht="15" x14ac:dyDescent="0.2">
      <c r="B802" s="8" t="s">
        <v>390</v>
      </c>
      <c r="C802" s="8" t="s">
        <v>6</v>
      </c>
      <c r="D802" s="78">
        <v>17500</v>
      </c>
      <c r="E802" s="76">
        <f t="shared" si="6"/>
        <v>17515</v>
      </c>
    </row>
    <row r="803" spans="2:5" ht="15" x14ac:dyDescent="0.2">
      <c r="B803" s="8" t="s">
        <v>392</v>
      </c>
      <c r="C803" s="8" t="s">
        <v>6</v>
      </c>
      <c r="D803" s="78">
        <v>25000</v>
      </c>
      <c r="E803" s="76">
        <f t="shared" si="6"/>
        <v>25015</v>
      </c>
    </row>
    <row r="804" spans="2:5" ht="15" x14ac:dyDescent="0.2">
      <c r="B804" s="8" t="s">
        <v>394</v>
      </c>
      <c r="C804" s="8" t="s">
        <v>6</v>
      </c>
      <c r="D804" s="78">
        <v>36000</v>
      </c>
      <c r="E804" s="76">
        <f t="shared" si="6"/>
        <v>36015</v>
      </c>
    </row>
    <row r="805" spans="2:5" ht="15" x14ac:dyDescent="0.2">
      <c r="B805" s="8" t="s">
        <v>396</v>
      </c>
      <c r="C805" s="8" t="s">
        <v>3</v>
      </c>
      <c r="D805" s="78">
        <v>45000</v>
      </c>
      <c r="E805" s="76">
        <f t="shared" si="6"/>
        <v>45015</v>
      </c>
    </row>
    <row r="806" spans="2:5" ht="15" x14ac:dyDescent="0.2">
      <c r="B806" s="8" t="s">
        <v>398</v>
      </c>
      <c r="C806" s="8" t="s">
        <v>6</v>
      </c>
      <c r="D806" s="78">
        <v>35000</v>
      </c>
      <c r="E806" s="76">
        <f t="shared" si="6"/>
        <v>35015</v>
      </c>
    </row>
    <row r="807" spans="2:5" ht="15" x14ac:dyDescent="0.2">
      <c r="B807" s="8" t="s">
        <v>400</v>
      </c>
      <c r="C807" s="8" t="s">
        <v>6</v>
      </c>
      <c r="D807" s="78">
        <v>200000</v>
      </c>
      <c r="E807" s="76">
        <f t="shared" si="6"/>
        <v>200015</v>
      </c>
    </row>
    <row r="808" spans="2:5" ht="15" x14ac:dyDescent="0.2">
      <c r="B808" s="8" t="s">
        <v>402</v>
      </c>
      <c r="C808" s="8" t="s">
        <v>12</v>
      </c>
      <c r="D808" s="78">
        <v>17500</v>
      </c>
      <c r="E808" s="76">
        <f t="shared" si="6"/>
        <v>17515</v>
      </c>
    </row>
    <row r="809" spans="2:5" ht="15" x14ac:dyDescent="0.2">
      <c r="B809" s="8" t="s">
        <v>404</v>
      </c>
      <c r="C809" s="8" t="s">
        <v>6</v>
      </c>
      <c r="D809" s="78">
        <v>44000</v>
      </c>
      <c r="E809" s="76">
        <f t="shared" si="6"/>
        <v>44015</v>
      </c>
    </row>
    <row r="810" spans="2:5" ht="15" x14ac:dyDescent="0.2">
      <c r="B810" s="8" t="s">
        <v>406</v>
      </c>
      <c r="C810" s="8" t="s">
        <v>6</v>
      </c>
      <c r="D810" s="78">
        <v>15500</v>
      </c>
      <c r="E810" s="76">
        <f t="shared" si="6"/>
        <v>15515</v>
      </c>
    </row>
    <row r="811" spans="2:5" ht="15" x14ac:dyDescent="0.2">
      <c r="B811" s="8" t="s">
        <v>408</v>
      </c>
      <c r="C811" s="8" t="s">
        <v>6</v>
      </c>
      <c r="D811" s="78">
        <v>21000</v>
      </c>
      <c r="E811" s="76">
        <f t="shared" si="6"/>
        <v>21015</v>
      </c>
    </row>
    <row r="812" spans="2:5" ht="15" x14ac:dyDescent="0.2">
      <c r="B812" s="8" t="s">
        <v>410</v>
      </c>
      <c r="C812" s="8" t="s">
        <v>6</v>
      </c>
      <c r="D812" s="78">
        <v>21000</v>
      </c>
      <c r="E812" s="76">
        <f t="shared" si="6"/>
        <v>21015</v>
      </c>
    </row>
    <row r="813" spans="2:5" ht="15" x14ac:dyDescent="0.2">
      <c r="B813" s="8" t="s">
        <v>412</v>
      </c>
      <c r="C813" s="8" t="s">
        <v>3</v>
      </c>
      <c r="D813" s="78">
        <v>88000</v>
      </c>
      <c r="E813" s="76">
        <f t="shared" si="6"/>
        <v>88015</v>
      </c>
    </row>
    <row r="814" spans="2:5" ht="15" x14ac:dyDescent="0.2">
      <c r="B814" s="8" t="s">
        <v>414</v>
      </c>
      <c r="C814" s="8" t="s">
        <v>6</v>
      </c>
      <c r="D814" s="78">
        <v>9000</v>
      </c>
      <c r="E814" s="76">
        <f t="shared" si="6"/>
        <v>9015</v>
      </c>
    </row>
    <row r="815" spans="2:5" ht="15" x14ac:dyDescent="0.2">
      <c r="B815" s="8" t="s">
        <v>416</v>
      </c>
      <c r="C815" s="8" t="s">
        <v>6</v>
      </c>
      <c r="D815" s="78">
        <v>92000</v>
      </c>
      <c r="E815" s="76">
        <f t="shared" si="6"/>
        <v>92015</v>
      </c>
    </row>
    <row r="816" spans="2:5" ht="15" x14ac:dyDescent="0.2">
      <c r="B816" s="8" t="s">
        <v>418</v>
      </c>
      <c r="C816" s="8" t="s">
        <v>3</v>
      </c>
      <c r="D816" s="78">
        <v>30000</v>
      </c>
      <c r="E816" s="76">
        <f t="shared" si="6"/>
        <v>30015</v>
      </c>
    </row>
    <row r="817" spans="2:5" ht="15" x14ac:dyDescent="0.2">
      <c r="B817" s="8" t="s">
        <v>420</v>
      </c>
      <c r="C817" s="8" t="s">
        <v>6</v>
      </c>
      <c r="D817" s="78">
        <v>29000</v>
      </c>
      <c r="E817" s="76">
        <f t="shared" si="6"/>
        <v>29015</v>
      </c>
    </row>
    <row r="818" spans="2:5" ht="15" x14ac:dyDescent="0.2">
      <c r="B818" s="8" t="s">
        <v>422</v>
      </c>
      <c r="C818" s="8" t="s">
        <v>6</v>
      </c>
      <c r="D818" s="78">
        <v>85000</v>
      </c>
      <c r="E818" s="76">
        <f t="shared" si="6"/>
        <v>85015</v>
      </c>
    </row>
    <row r="819" spans="2:5" ht="15" x14ac:dyDescent="0.2">
      <c r="B819" s="8" t="s">
        <v>424</v>
      </c>
      <c r="C819" s="8" t="s">
        <v>3</v>
      </c>
      <c r="D819" s="78">
        <v>32000</v>
      </c>
      <c r="E819" s="76">
        <f t="shared" si="6"/>
        <v>32015</v>
      </c>
    </row>
    <row r="820" spans="2:5" ht="15" x14ac:dyDescent="0.2">
      <c r="B820" s="8" t="s">
        <v>426</v>
      </c>
      <c r="C820" s="8" t="s">
        <v>6</v>
      </c>
      <c r="D820" s="78">
        <v>32000</v>
      </c>
      <c r="E820" s="76">
        <f t="shared" si="6"/>
        <v>32015</v>
      </c>
    </row>
    <row r="821" spans="2:5" ht="15" x14ac:dyDescent="0.2">
      <c r="B821" s="8" t="s">
        <v>428</v>
      </c>
      <c r="C821" s="8" t="s">
        <v>323</v>
      </c>
      <c r="D821" s="79">
        <v>45000</v>
      </c>
      <c r="E821" s="76">
        <f t="shared" si="6"/>
        <v>45015</v>
      </c>
    </row>
    <row r="822" spans="2:5" ht="15" x14ac:dyDescent="0.2">
      <c r="B822" s="8" t="s">
        <v>429</v>
      </c>
      <c r="C822" s="8" t="s">
        <v>6</v>
      </c>
      <c r="D822" s="76">
        <v>24500</v>
      </c>
      <c r="E822" s="76">
        <f t="shared" si="6"/>
        <v>24515</v>
      </c>
    </row>
    <row r="823" spans="2:5" ht="15" x14ac:dyDescent="0.2">
      <c r="B823" s="8" t="s">
        <v>431</v>
      </c>
      <c r="C823" s="8" t="s">
        <v>6</v>
      </c>
      <c r="D823" s="76">
        <v>53000</v>
      </c>
      <c r="E823" s="76">
        <f t="shared" si="6"/>
        <v>53015</v>
      </c>
    </row>
    <row r="824" spans="2:5" ht="15" x14ac:dyDescent="0.2">
      <c r="B824" s="8" t="s">
        <v>433</v>
      </c>
      <c r="C824" s="8" t="s">
        <v>6</v>
      </c>
      <c r="D824" s="76">
        <v>32000</v>
      </c>
      <c r="E824" s="76">
        <f t="shared" si="6"/>
        <v>32015</v>
      </c>
    </row>
    <row r="825" spans="2:5" ht="15" x14ac:dyDescent="0.2">
      <c r="B825" s="8" t="s">
        <v>435</v>
      </c>
      <c r="C825" s="8" t="s">
        <v>6</v>
      </c>
      <c r="D825" s="76">
        <v>37000</v>
      </c>
      <c r="E825" s="76">
        <f t="shared" si="6"/>
        <v>37015</v>
      </c>
    </row>
    <row r="826" spans="2:5" ht="15" x14ac:dyDescent="0.2">
      <c r="B826" s="8" t="s">
        <v>437</v>
      </c>
      <c r="C826" s="8" t="s">
        <v>6</v>
      </c>
      <c r="D826" s="76">
        <v>32000</v>
      </c>
      <c r="E826" s="76">
        <f t="shared" si="6"/>
        <v>32015</v>
      </c>
    </row>
    <row r="827" spans="2:5" ht="15" x14ac:dyDescent="0.2">
      <c r="B827" s="8" t="s">
        <v>439</v>
      </c>
      <c r="C827" s="8" t="s">
        <v>6</v>
      </c>
      <c r="D827" s="76">
        <v>57000</v>
      </c>
      <c r="E827" s="76">
        <f t="shared" si="6"/>
        <v>57015</v>
      </c>
    </row>
    <row r="828" spans="2:5" ht="15" x14ac:dyDescent="0.2">
      <c r="B828" s="8" t="s">
        <v>441</v>
      </c>
      <c r="C828" s="8" t="s">
        <v>6</v>
      </c>
      <c r="D828" s="76">
        <v>41000</v>
      </c>
      <c r="E828" s="76">
        <f t="shared" si="6"/>
        <v>41015</v>
      </c>
    </row>
    <row r="829" spans="2:5" ht="15" x14ac:dyDescent="0.2">
      <c r="B829" s="8" t="s">
        <v>443</v>
      </c>
      <c r="C829" s="8" t="s">
        <v>6</v>
      </c>
      <c r="D829" s="76">
        <v>30000</v>
      </c>
      <c r="E829" s="76">
        <f t="shared" si="6"/>
        <v>30015</v>
      </c>
    </row>
    <row r="830" spans="2:5" ht="15" x14ac:dyDescent="0.2">
      <c r="B830" s="8" t="s">
        <v>445</v>
      </c>
      <c r="C830" s="8" t="s">
        <v>227</v>
      </c>
      <c r="D830" s="76">
        <v>43000</v>
      </c>
      <c r="E830" s="76">
        <f t="shared" si="6"/>
        <v>43015</v>
      </c>
    </row>
    <row r="831" spans="2:5" ht="15" x14ac:dyDescent="0.2">
      <c r="B831" s="8" t="s">
        <v>447</v>
      </c>
      <c r="C831" s="8" t="s">
        <v>6</v>
      </c>
      <c r="D831" s="76">
        <v>26000</v>
      </c>
      <c r="E831" s="76">
        <f t="shared" si="6"/>
        <v>26015</v>
      </c>
    </row>
    <row r="832" spans="2:5" ht="15" x14ac:dyDescent="0.2">
      <c r="B832" s="8" t="s">
        <v>449</v>
      </c>
      <c r="C832" s="8" t="s">
        <v>3</v>
      </c>
      <c r="D832" s="76">
        <v>65000</v>
      </c>
      <c r="E832" s="76">
        <f t="shared" si="6"/>
        <v>65015</v>
      </c>
    </row>
    <row r="833" spans="2:5" ht="15" x14ac:dyDescent="0.2">
      <c r="B833" s="8" t="s">
        <v>452</v>
      </c>
      <c r="C833" s="8" t="s">
        <v>6</v>
      </c>
      <c r="D833" s="76">
        <v>66000</v>
      </c>
      <c r="E833" s="76">
        <f t="shared" si="6"/>
        <v>66015</v>
      </c>
    </row>
    <row r="834" spans="2:5" ht="15" x14ac:dyDescent="0.2">
      <c r="B834" s="8" t="s">
        <v>454</v>
      </c>
      <c r="C834" s="8" t="s">
        <v>6</v>
      </c>
      <c r="D834" s="76">
        <v>68000</v>
      </c>
      <c r="E834" s="76">
        <f t="shared" si="6"/>
        <v>68015</v>
      </c>
    </row>
    <row r="835" spans="2:5" ht="15" x14ac:dyDescent="0.2">
      <c r="B835" s="8" t="s">
        <v>456</v>
      </c>
      <c r="C835" s="8" t="s">
        <v>6</v>
      </c>
      <c r="D835" s="76">
        <v>25000</v>
      </c>
      <c r="E835" s="76">
        <f t="shared" si="6"/>
        <v>25015</v>
      </c>
    </row>
    <row r="836" spans="2:5" ht="15" x14ac:dyDescent="0.2">
      <c r="B836" s="8" t="s">
        <v>458</v>
      </c>
      <c r="C836" s="8" t="s">
        <v>6</v>
      </c>
      <c r="D836" s="76">
        <v>126000</v>
      </c>
      <c r="E836" s="76">
        <f t="shared" si="6"/>
        <v>126015</v>
      </c>
    </row>
    <row r="837" spans="2:5" ht="15" x14ac:dyDescent="0.2">
      <c r="B837" s="8" t="s">
        <v>460</v>
      </c>
      <c r="C837" s="8" t="s">
        <v>6</v>
      </c>
      <c r="D837" s="76">
        <v>42000</v>
      </c>
      <c r="E837" s="76">
        <f t="shared" si="6"/>
        <v>42015</v>
      </c>
    </row>
    <row r="838" spans="2:5" ht="15" x14ac:dyDescent="0.2">
      <c r="B838" s="8" t="s">
        <v>462</v>
      </c>
      <c r="C838" s="8" t="s">
        <v>6</v>
      </c>
      <c r="D838" s="76">
        <v>33000</v>
      </c>
      <c r="E838" s="76">
        <f t="shared" si="6"/>
        <v>33015</v>
      </c>
    </row>
    <row r="839" spans="2:5" ht="15" x14ac:dyDescent="0.2">
      <c r="B839" s="8" t="s">
        <v>464</v>
      </c>
      <c r="C839" s="8" t="s">
        <v>6</v>
      </c>
      <c r="D839" s="76">
        <v>57000</v>
      </c>
      <c r="E839" s="76">
        <f t="shared" si="6"/>
        <v>57015</v>
      </c>
    </row>
    <row r="840" spans="2:5" ht="15" x14ac:dyDescent="0.2">
      <c r="B840" s="8" t="s">
        <v>466</v>
      </c>
      <c r="C840" s="8" t="s">
        <v>6</v>
      </c>
      <c r="D840" s="76">
        <v>50000</v>
      </c>
      <c r="E840" s="76">
        <f t="shared" si="6"/>
        <v>50015</v>
      </c>
    </row>
    <row r="841" spans="2:5" ht="15" x14ac:dyDescent="0.2">
      <c r="B841" s="8" t="s">
        <v>468</v>
      </c>
      <c r="C841" s="8" t="s">
        <v>12</v>
      </c>
      <c r="D841" s="76">
        <v>26500</v>
      </c>
      <c r="E841" s="76">
        <f t="shared" si="6"/>
        <v>26515</v>
      </c>
    </row>
    <row r="842" spans="2:5" ht="15" x14ac:dyDescent="0.2">
      <c r="B842" s="8" t="s">
        <v>470</v>
      </c>
      <c r="C842" s="8" t="s">
        <v>3</v>
      </c>
      <c r="D842" s="76">
        <v>42000</v>
      </c>
      <c r="E842" s="76">
        <f t="shared" si="6"/>
        <v>42015</v>
      </c>
    </row>
    <row r="843" spans="2:5" ht="15" x14ac:dyDescent="0.2">
      <c r="B843" s="8" t="s">
        <v>472</v>
      </c>
      <c r="C843" s="8" t="s">
        <v>6</v>
      </c>
      <c r="D843" s="76">
        <v>90000</v>
      </c>
      <c r="E843" s="76">
        <f t="shared" si="6"/>
        <v>90015</v>
      </c>
    </row>
    <row r="844" spans="2:5" ht="15" x14ac:dyDescent="0.2">
      <c r="B844" s="74"/>
      <c r="C844" s="74"/>
      <c r="D844" s="76"/>
      <c r="E844" s="76"/>
    </row>
    <row r="845" spans="2:5" ht="15" x14ac:dyDescent="0.2">
      <c r="B845" s="74"/>
      <c r="C845" s="74"/>
      <c r="D845" s="76"/>
      <c r="E845" s="76"/>
    </row>
    <row r="846" spans="2:5" ht="15" x14ac:dyDescent="0.2">
      <c r="B846" s="74"/>
      <c r="C846" s="74"/>
      <c r="D846" s="76"/>
      <c r="E846" s="76"/>
    </row>
    <row r="847" spans="2:5" ht="15" x14ac:dyDescent="0.2">
      <c r="B847" s="74"/>
      <c r="C847" s="74"/>
      <c r="D847" s="76"/>
      <c r="E847" s="76"/>
    </row>
    <row r="848" spans="2:5" ht="15" x14ac:dyDescent="0.2">
      <c r="B848" s="74"/>
      <c r="C848" s="74"/>
      <c r="D848" s="76"/>
      <c r="E848" s="76"/>
    </row>
    <row r="849" spans="2:5" ht="15" x14ac:dyDescent="0.2">
      <c r="B849" s="74"/>
      <c r="C849" s="74"/>
      <c r="D849" s="76"/>
      <c r="E849" s="76"/>
    </row>
    <row r="850" spans="2:5" ht="15" x14ac:dyDescent="0.2">
      <c r="B850" s="74"/>
      <c r="C850" s="74"/>
      <c r="D850" s="76"/>
      <c r="E850" s="76"/>
    </row>
    <row r="851" spans="2:5" ht="15" x14ac:dyDescent="0.2">
      <c r="B851" s="74"/>
      <c r="C851" s="74"/>
      <c r="D851" s="76"/>
      <c r="E851" s="76"/>
    </row>
    <row r="852" spans="2:5" ht="15" x14ac:dyDescent="0.2">
      <c r="B852" s="74"/>
      <c r="C852" s="74"/>
      <c r="D852" s="76"/>
      <c r="E852" s="76"/>
    </row>
    <row r="853" spans="2:5" ht="15" x14ac:dyDescent="0.2">
      <c r="B853" s="74"/>
      <c r="C853" s="74"/>
      <c r="D853" s="76"/>
      <c r="E853" s="76"/>
    </row>
    <row r="854" spans="2:5" ht="15" x14ac:dyDescent="0.2">
      <c r="B854" s="74"/>
      <c r="C854" s="74"/>
      <c r="D854" s="76"/>
      <c r="E854" s="76"/>
    </row>
    <row r="855" spans="2:5" ht="15" x14ac:dyDescent="0.2">
      <c r="B855" s="74"/>
      <c r="C855" s="74"/>
      <c r="D855" s="76"/>
      <c r="E855" s="76"/>
    </row>
    <row r="856" spans="2:5" ht="15" x14ac:dyDescent="0.2">
      <c r="B856" s="74"/>
      <c r="C856" s="74"/>
      <c r="D856" s="76"/>
      <c r="E856" s="76"/>
    </row>
    <row r="857" spans="2:5" ht="15" x14ac:dyDescent="0.2">
      <c r="B857" s="74"/>
      <c r="C857" s="74"/>
      <c r="D857" s="76"/>
      <c r="E857" s="76"/>
    </row>
    <row r="858" spans="2:5" ht="15" x14ac:dyDescent="0.2">
      <c r="B858" s="74"/>
      <c r="C858" s="74"/>
      <c r="D858" s="76"/>
      <c r="E858" s="76"/>
    </row>
    <row r="859" spans="2:5" ht="15" x14ac:dyDescent="0.2">
      <c r="B859" s="74"/>
      <c r="C859" s="74"/>
      <c r="D859" s="76"/>
      <c r="E859" s="76"/>
    </row>
    <row r="860" spans="2:5" ht="15" x14ac:dyDescent="0.2">
      <c r="B860" s="74"/>
      <c r="C860" s="74"/>
      <c r="D860" s="76"/>
      <c r="E860" s="76"/>
    </row>
    <row r="861" spans="2:5" ht="15" x14ac:dyDescent="0.2">
      <c r="B861" s="74"/>
      <c r="C861" s="74"/>
      <c r="D861" s="76"/>
      <c r="E861" s="76"/>
    </row>
    <row r="862" spans="2:5" ht="15" x14ac:dyDescent="0.2">
      <c r="B862" s="74"/>
      <c r="C862" s="74"/>
      <c r="D862" s="76"/>
      <c r="E862" s="76"/>
    </row>
    <row r="863" spans="2:5" ht="15" x14ac:dyDescent="0.2">
      <c r="B863" s="74"/>
      <c r="C863" s="74"/>
      <c r="D863" s="76"/>
      <c r="E863" s="76"/>
    </row>
    <row r="864" spans="2:5" ht="15" x14ac:dyDescent="0.2">
      <c r="B864" s="74"/>
      <c r="C864" s="74"/>
      <c r="D864" s="76"/>
      <c r="E864" s="76"/>
    </row>
    <row r="865" spans="2:5" ht="15" x14ac:dyDescent="0.2">
      <c r="B865" s="74"/>
      <c r="C865" s="74"/>
      <c r="D865" s="76"/>
      <c r="E865" s="76"/>
    </row>
    <row r="866" spans="2:5" ht="15" x14ac:dyDescent="0.2">
      <c r="B866" s="74"/>
      <c r="C866" s="74"/>
      <c r="D866" s="76"/>
      <c r="E866" s="76"/>
    </row>
    <row r="867" spans="2:5" ht="15" x14ac:dyDescent="0.2">
      <c r="B867" s="74"/>
      <c r="C867" s="74"/>
      <c r="D867" s="76"/>
      <c r="E867" s="76"/>
    </row>
    <row r="868" spans="2:5" ht="15" x14ac:dyDescent="0.2">
      <c r="B868" s="74"/>
      <c r="C868" s="74"/>
      <c r="D868" s="76"/>
      <c r="E868" s="76"/>
    </row>
    <row r="869" spans="2:5" ht="15" x14ac:dyDescent="0.2">
      <c r="B869" s="74"/>
      <c r="C869" s="74"/>
      <c r="D869" s="76"/>
      <c r="E869" s="76"/>
    </row>
    <row r="870" spans="2:5" ht="15" x14ac:dyDescent="0.2">
      <c r="B870" s="74"/>
      <c r="C870" s="74"/>
      <c r="D870" s="76"/>
      <c r="E870" s="76"/>
    </row>
    <row r="871" spans="2:5" ht="15" x14ac:dyDescent="0.2">
      <c r="B871" s="74"/>
      <c r="C871" s="74"/>
      <c r="D871" s="76"/>
      <c r="E871" s="76"/>
    </row>
    <row r="872" spans="2:5" ht="15" x14ac:dyDescent="0.2">
      <c r="B872" s="74"/>
      <c r="C872" s="74"/>
      <c r="D872" s="76"/>
      <c r="E872" s="76"/>
    </row>
    <row r="873" spans="2:5" ht="15" x14ac:dyDescent="0.2">
      <c r="B873" s="74"/>
      <c r="C873" s="74"/>
      <c r="D873" s="76"/>
      <c r="E873" s="76"/>
    </row>
    <row r="874" spans="2:5" ht="15" x14ac:dyDescent="0.2">
      <c r="B874" s="74"/>
      <c r="C874" s="74"/>
      <c r="D874" s="76"/>
      <c r="E874" s="76"/>
    </row>
    <row r="875" spans="2:5" ht="15" x14ac:dyDescent="0.2">
      <c r="B875" s="74"/>
      <c r="C875" s="74"/>
      <c r="D875" s="76"/>
      <c r="E875" s="76"/>
    </row>
    <row r="876" spans="2:5" ht="15" x14ac:dyDescent="0.2">
      <c r="B876" s="74"/>
      <c r="C876" s="74"/>
      <c r="D876" s="76"/>
      <c r="E876" s="76"/>
    </row>
    <row r="877" spans="2:5" ht="15" x14ac:dyDescent="0.2">
      <c r="B877" s="74"/>
      <c r="C877" s="74"/>
      <c r="D877" s="76"/>
      <c r="E877" s="76"/>
    </row>
    <row r="878" spans="2:5" ht="15" x14ac:dyDescent="0.2">
      <c r="B878" s="74"/>
      <c r="C878" s="74"/>
      <c r="D878" s="76"/>
      <c r="E878" s="76"/>
    </row>
    <row r="879" spans="2:5" ht="15" x14ac:dyDescent="0.2">
      <c r="B879" s="74"/>
      <c r="C879" s="74"/>
      <c r="D879" s="76"/>
      <c r="E879" s="76"/>
    </row>
    <row r="880" spans="2:5" ht="15" x14ac:dyDescent="0.2">
      <c r="B880" s="74"/>
      <c r="C880" s="74"/>
      <c r="D880" s="76"/>
      <c r="E880" s="76"/>
    </row>
    <row r="881" spans="2:5" ht="15" x14ac:dyDescent="0.2">
      <c r="B881" s="74"/>
      <c r="C881" s="74"/>
      <c r="D881" s="76"/>
      <c r="E881" s="76"/>
    </row>
    <row r="882" spans="2:5" ht="15" x14ac:dyDescent="0.2">
      <c r="B882" s="74"/>
      <c r="C882" s="74"/>
      <c r="D882" s="76"/>
      <c r="E882" s="76"/>
    </row>
    <row r="883" spans="2:5" ht="15" x14ac:dyDescent="0.2">
      <c r="B883" s="74"/>
      <c r="C883" s="74"/>
      <c r="D883" s="76"/>
      <c r="E883" s="76"/>
    </row>
    <row r="884" spans="2:5" ht="15" x14ac:dyDescent="0.2">
      <c r="B884" s="74"/>
      <c r="C884" s="74"/>
      <c r="D884" s="76"/>
      <c r="E884" s="76"/>
    </row>
    <row r="885" spans="2:5" ht="15" x14ac:dyDescent="0.2">
      <c r="B885" s="74"/>
      <c r="C885" s="74"/>
      <c r="D885" s="76"/>
      <c r="E885" s="76"/>
    </row>
    <row r="886" spans="2:5" ht="15" x14ac:dyDescent="0.2">
      <c r="B886" s="74"/>
      <c r="C886" s="74"/>
      <c r="D886" s="76"/>
      <c r="E886" s="76"/>
    </row>
    <row r="887" spans="2:5" ht="15" x14ac:dyDescent="0.2">
      <c r="B887" s="74"/>
      <c r="C887" s="74"/>
      <c r="D887" s="76"/>
      <c r="E887" s="76"/>
    </row>
    <row r="888" spans="2:5" ht="15" x14ac:dyDescent="0.2">
      <c r="B888" s="74"/>
      <c r="C888" s="74"/>
      <c r="D888" s="76"/>
      <c r="E888" s="76"/>
    </row>
    <row r="889" spans="2:5" ht="15" x14ac:dyDescent="0.2">
      <c r="B889" s="74"/>
      <c r="C889" s="74"/>
      <c r="D889" s="76"/>
      <c r="E889" s="76"/>
    </row>
    <row r="890" spans="2:5" ht="15" x14ac:dyDescent="0.2">
      <c r="B890" s="74"/>
      <c r="C890" s="74"/>
      <c r="D890" s="76"/>
      <c r="E890" s="76"/>
    </row>
    <row r="891" spans="2:5" ht="15" x14ac:dyDescent="0.2">
      <c r="B891" s="74"/>
      <c r="C891" s="74"/>
      <c r="D891" s="76"/>
      <c r="E891" s="76"/>
    </row>
    <row r="892" spans="2:5" ht="15" x14ac:dyDescent="0.2">
      <c r="B892" s="74"/>
      <c r="C892" s="74"/>
      <c r="D892" s="76"/>
      <c r="E892" s="76"/>
    </row>
    <row r="893" spans="2:5" ht="15" x14ac:dyDescent="0.2">
      <c r="B893" s="74"/>
      <c r="C893" s="74"/>
      <c r="D893" s="76"/>
      <c r="E893" s="76"/>
    </row>
    <row r="894" spans="2:5" ht="15" x14ac:dyDescent="0.2">
      <c r="B894" s="74"/>
      <c r="C894" s="74"/>
      <c r="D894" s="76"/>
      <c r="E894" s="76"/>
    </row>
    <row r="895" spans="2:5" ht="15" x14ac:dyDescent="0.2">
      <c r="B895" s="74"/>
      <c r="C895" s="74"/>
      <c r="D895" s="76"/>
      <c r="E895" s="76"/>
    </row>
    <row r="896" spans="2:5" ht="15" x14ac:dyDescent="0.2">
      <c r="B896" s="74"/>
      <c r="C896" s="74"/>
      <c r="D896" s="76"/>
      <c r="E896" s="76"/>
    </row>
    <row r="897" spans="2:5" ht="15" x14ac:dyDescent="0.2">
      <c r="B897" s="74"/>
      <c r="C897" s="74"/>
      <c r="D897" s="76"/>
      <c r="E897" s="76"/>
    </row>
    <row r="898" spans="2:5" ht="15" x14ac:dyDescent="0.2">
      <c r="B898" s="74"/>
      <c r="C898" s="74"/>
      <c r="D898" s="76"/>
      <c r="E898" s="76"/>
    </row>
    <row r="899" spans="2:5" ht="15" x14ac:dyDescent="0.2">
      <c r="B899" s="74"/>
      <c r="C899" s="74"/>
      <c r="D899" s="76"/>
      <c r="E899" s="76"/>
    </row>
    <row r="900" spans="2:5" ht="15" x14ac:dyDescent="0.2">
      <c r="B900" s="74"/>
      <c r="C900" s="74"/>
      <c r="D900" s="76"/>
      <c r="E900" s="76"/>
    </row>
    <row r="901" spans="2:5" ht="15" x14ac:dyDescent="0.2">
      <c r="B901" s="74"/>
      <c r="C901" s="74"/>
      <c r="D901" s="76"/>
      <c r="E901" s="76"/>
    </row>
    <row r="902" spans="2:5" ht="15" x14ac:dyDescent="0.2">
      <c r="B902" s="74"/>
      <c r="C902" s="74"/>
      <c r="D902" s="76"/>
      <c r="E902" s="76"/>
    </row>
    <row r="903" spans="2:5" ht="15" x14ac:dyDescent="0.2">
      <c r="B903" s="74"/>
      <c r="C903" s="74"/>
      <c r="D903" s="76"/>
      <c r="E903" s="76"/>
    </row>
    <row r="904" spans="2:5" ht="15" x14ac:dyDescent="0.2">
      <c r="B904" s="74"/>
      <c r="C904" s="74"/>
      <c r="D904" s="76"/>
      <c r="E904" s="76"/>
    </row>
    <row r="905" spans="2:5" ht="15" x14ac:dyDescent="0.2">
      <c r="B905" s="74"/>
      <c r="C905" s="74"/>
      <c r="D905" s="76"/>
      <c r="E905" s="76"/>
    </row>
    <row r="906" spans="2:5" ht="15" x14ac:dyDescent="0.2">
      <c r="B906" s="74"/>
      <c r="C906" s="74"/>
      <c r="D906" s="76"/>
      <c r="E906" s="76"/>
    </row>
    <row r="907" spans="2:5" ht="15" x14ac:dyDescent="0.2">
      <c r="B907" s="74"/>
      <c r="C907" s="74"/>
      <c r="D907" s="76"/>
      <c r="E907" s="76"/>
    </row>
    <row r="908" spans="2:5" ht="15" x14ac:dyDescent="0.2">
      <c r="B908" s="74"/>
      <c r="C908" s="74"/>
      <c r="D908" s="76"/>
      <c r="E908" s="76"/>
    </row>
    <row r="909" spans="2:5" ht="15" x14ac:dyDescent="0.2">
      <c r="B909" s="74"/>
      <c r="C909" s="74"/>
      <c r="D909" s="76"/>
      <c r="E909" s="76"/>
    </row>
    <row r="910" spans="2:5" ht="15" x14ac:dyDescent="0.2">
      <c r="B910" s="74"/>
      <c r="C910" s="74"/>
      <c r="D910" s="76"/>
      <c r="E910" s="76"/>
    </row>
    <row r="911" spans="2:5" ht="15" x14ac:dyDescent="0.2">
      <c r="B911" s="74"/>
      <c r="C911" s="74"/>
      <c r="D911" s="76"/>
      <c r="E911" s="76"/>
    </row>
    <row r="912" spans="2:5" ht="15" x14ac:dyDescent="0.2">
      <c r="B912" s="74"/>
      <c r="C912" s="74"/>
      <c r="D912" s="76"/>
      <c r="E912" s="76"/>
    </row>
    <row r="913" spans="2:5" ht="15" x14ac:dyDescent="0.2">
      <c r="B913" s="74"/>
      <c r="C913" s="74"/>
      <c r="D913" s="76"/>
      <c r="E913" s="76"/>
    </row>
    <row r="914" spans="2:5" ht="15" x14ac:dyDescent="0.2">
      <c r="B914" s="74"/>
      <c r="C914" s="74"/>
      <c r="D914" s="76"/>
      <c r="E914" s="76"/>
    </row>
    <row r="915" spans="2:5" ht="15" x14ac:dyDescent="0.2">
      <c r="B915" s="74"/>
      <c r="C915" s="74"/>
      <c r="D915" s="76"/>
      <c r="E915" s="76"/>
    </row>
    <row r="916" spans="2:5" ht="15" x14ac:dyDescent="0.2">
      <c r="B916" s="74"/>
      <c r="C916" s="74"/>
      <c r="D916" s="76"/>
      <c r="E916" s="76"/>
    </row>
    <row r="917" spans="2:5" ht="15" x14ac:dyDescent="0.2">
      <c r="B917" s="74"/>
      <c r="C917" s="74"/>
      <c r="D917" s="76"/>
      <c r="E917" s="76"/>
    </row>
    <row r="918" spans="2:5" ht="15" x14ac:dyDescent="0.2">
      <c r="B918" s="74"/>
      <c r="C918" s="74"/>
      <c r="D918" s="76"/>
      <c r="E918" s="76"/>
    </row>
    <row r="919" spans="2:5" ht="15" x14ac:dyDescent="0.2">
      <c r="B919" s="74"/>
      <c r="C919" s="74"/>
      <c r="D919" s="76"/>
      <c r="E919" s="76"/>
    </row>
    <row r="920" spans="2:5" ht="15" x14ac:dyDescent="0.2">
      <c r="B920" s="74"/>
      <c r="C920" s="74"/>
      <c r="D920" s="76"/>
      <c r="E920" s="76"/>
    </row>
    <row r="921" spans="2:5" ht="15" x14ac:dyDescent="0.2">
      <c r="B921" s="74"/>
      <c r="C921" s="74"/>
      <c r="D921" s="76"/>
      <c r="E921" s="76"/>
    </row>
    <row r="922" spans="2:5" ht="15" x14ac:dyDescent="0.2">
      <c r="B922" s="74"/>
      <c r="C922" s="74"/>
      <c r="D922" s="76"/>
      <c r="E922" s="76"/>
    </row>
    <row r="923" spans="2:5" ht="15" x14ac:dyDescent="0.2">
      <c r="B923" s="74"/>
      <c r="C923" s="74"/>
      <c r="D923" s="76"/>
      <c r="E923" s="76"/>
    </row>
    <row r="924" spans="2:5" ht="15" x14ac:dyDescent="0.2">
      <c r="B924" s="74"/>
      <c r="C924" s="74"/>
      <c r="D924" s="76"/>
      <c r="E924" s="76"/>
    </row>
    <row r="925" spans="2:5" ht="15" x14ac:dyDescent="0.2">
      <c r="B925" s="74"/>
      <c r="C925" s="74"/>
      <c r="D925" s="76"/>
      <c r="E925" s="76"/>
    </row>
    <row r="926" spans="2:5" ht="15" x14ac:dyDescent="0.2">
      <c r="B926" s="74"/>
      <c r="C926" s="74"/>
      <c r="D926" s="76"/>
      <c r="E926" s="76"/>
    </row>
    <row r="927" spans="2:5" ht="15" x14ac:dyDescent="0.2">
      <c r="B927" s="74"/>
      <c r="C927" s="74"/>
      <c r="D927" s="76"/>
      <c r="E927" s="76"/>
    </row>
    <row r="928" spans="2:5" ht="15" x14ac:dyDescent="0.2">
      <c r="B928" s="74"/>
      <c r="C928" s="74"/>
      <c r="D928" s="76"/>
      <c r="E928" s="76"/>
    </row>
    <row r="929" spans="2:5" ht="15" x14ac:dyDescent="0.2">
      <c r="B929" s="74"/>
      <c r="C929" s="74"/>
      <c r="D929" s="76"/>
      <c r="E929" s="76"/>
    </row>
    <row r="930" spans="2:5" ht="15" x14ac:dyDescent="0.2">
      <c r="B930" s="74"/>
      <c r="C930" s="74"/>
      <c r="D930" s="76"/>
      <c r="E930" s="76"/>
    </row>
    <row r="931" spans="2:5" ht="15" x14ac:dyDescent="0.2">
      <c r="B931" s="74"/>
      <c r="C931" s="74"/>
      <c r="D931" s="76"/>
      <c r="E931" s="76"/>
    </row>
    <row r="932" spans="2:5" ht="15" x14ac:dyDescent="0.2">
      <c r="B932" s="74"/>
      <c r="C932" s="74"/>
      <c r="D932" s="76"/>
      <c r="E932" s="76"/>
    </row>
    <row r="933" spans="2:5" ht="15" x14ac:dyDescent="0.2">
      <c r="B933" s="74"/>
      <c r="C933" s="74"/>
      <c r="D933" s="76"/>
      <c r="E933" s="76"/>
    </row>
    <row r="934" spans="2:5" ht="15" x14ac:dyDescent="0.2">
      <c r="B934" s="74"/>
      <c r="C934" s="74"/>
      <c r="D934" s="76"/>
      <c r="E934" s="76"/>
    </row>
    <row r="935" spans="2:5" ht="15" x14ac:dyDescent="0.2">
      <c r="B935" s="74"/>
      <c r="C935" s="74"/>
      <c r="D935" s="76"/>
      <c r="E935" s="76"/>
    </row>
    <row r="936" spans="2:5" ht="15" x14ac:dyDescent="0.2">
      <c r="B936" s="74"/>
      <c r="C936" s="74"/>
      <c r="D936" s="76"/>
      <c r="E936" s="76"/>
    </row>
    <row r="937" spans="2:5" ht="15" x14ac:dyDescent="0.2">
      <c r="B937" s="74"/>
      <c r="C937" s="74"/>
      <c r="D937" s="76"/>
      <c r="E937" s="76"/>
    </row>
    <row r="938" spans="2:5" ht="15" x14ac:dyDescent="0.2">
      <c r="B938" s="74"/>
      <c r="C938" s="74"/>
      <c r="D938" s="76"/>
      <c r="E938" s="76"/>
    </row>
    <row r="939" spans="2:5" ht="15" x14ac:dyDescent="0.2">
      <c r="B939" s="74"/>
      <c r="C939" s="74"/>
      <c r="D939" s="76"/>
      <c r="E939" s="76"/>
    </row>
    <row r="940" spans="2:5" ht="15" x14ac:dyDescent="0.2">
      <c r="B940" s="74"/>
      <c r="C940" s="74"/>
      <c r="D940" s="76"/>
      <c r="E940" s="76"/>
    </row>
    <row r="941" spans="2:5" ht="15" x14ac:dyDescent="0.2">
      <c r="B941" s="74"/>
      <c r="C941" s="74"/>
      <c r="D941" s="76"/>
      <c r="E941" s="76"/>
    </row>
    <row r="942" spans="2:5" ht="15" x14ac:dyDescent="0.2">
      <c r="B942" s="74"/>
      <c r="C942" s="74"/>
      <c r="D942" s="76"/>
      <c r="E942" s="76"/>
    </row>
    <row r="943" spans="2:5" ht="15" x14ac:dyDescent="0.2">
      <c r="B943" s="74"/>
      <c r="C943" s="74"/>
      <c r="D943" s="76"/>
      <c r="E943" s="76"/>
    </row>
    <row r="944" spans="2:5" ht="15" x14ac:dyDescent="0.2">
      <c r="B944" s="8"/>
      <c r="C944" s="8"/>
      <c r="D944" s="76"/>
      <c r="E944" s="76"/>
    </row>
    <row r="945" spans="1:5" ht="15" x14ac:dyDescent="0.2">
      <c r="A945" s="53" t="s">
        <v>2431</v>
      </c>
      <c r="B945" s="8" t="s">
        <v>474</v>
      </c>
      <c r="C945" s="8" t="s">
        <v>6</v>
      </c>
      <c r="D945" s="76">
        <v>25000</v>
      </c>
      <c r="E945" s="76">
        <f t="shared" si="6"/>
        <v>25015</v>
      </c>
    </row>
    <row r="946" spans="1:5" ht="15" x14ac:dyDescent="0.2">
      <c r="B946" s="8" t="s">
        <v>476</v>
      </c>
      <c r="C946" s="8" t="s">
        <v>6</v>
      </c>
      <c r="D946" s="76">
        <v>152000</v>
      </c>
      <c r="E946" s="76">
        <f t="shared" si="6"/>
        <v>152015</v>
      </c>
    </row>
    <row r="947" spans="1:5" ht="15" x14ac:dyDescent="0.2">
      <c r="B947" s="8" t="s">
        <v>478</v>
      </c>
      <c r="C947" s="8" t="s">
        <v>6</v>
      </c>
      <c r="D947" s="76">
        <v>242000</v>
      </c>
      <c r="E947" s="76">
        <f t="shared" si="6"/>
        <v>242015</v>
      </c>
    </row>
    <row r="948" spans="1:5" ht="15" x14ac:dyDescent="0.2">
      <c r="B948" s="8" t="s">
        <v>480</v>
      </c>
      <c r="C948" s="8" t="s">
        <v>6</v>
      </c>
      <c r="D948" s="76">
        <v>26500</v>
      </c>
      <c r="E948" s="76">
        <f t="shared" si="6"/>
        <v>26515</v>
      </c>
    </row>
    <row r="949" spans="1:5" ht="15" x14ac:dyDescent="0.2">
      <c r="B949" s="8" t="s">
        <v>482</v>
      </c>
      <c r="C949" s="8" t="s">
        <v>6</v>
      </c>
      <c r="D949" s="76">
        <v>20000</v>
      </c>
      <c r="E949" s="76">
        <f t="shared" si="6"/>
        <v>20015</v>
      </c>
    </row>
    <row r="950" spans="1:5" ht="15" x14ac:dyDescent="0.2">
      <c r="B950" s="8" t="s">
        <v>484</v>
      </c>
      <c r="C950" s="8" t="s">
        <v>6</v>
      </c>
      <c r="D950" s="76">
        <v>66000</v>
      </c>
      <c r="E950" s="76">
        <f t="shared" si="6"/>
        <v>66015</v>
      </c>
    </row>
    <row r="951" spans="1:5" ht="15" x14ac:dyDescent="0.2">
      <c r="B951" s="8" t="s">
        <v>486</v>
      </c>
      <c r="C951" s="8" t="s">
        <v>6</v>
      </c>
      <c r="D951" s="76">
        <v>31000</v>
      </c>
      <c r="E951" s="76">
        <f t="shared" ref="E951:E1115" si="7">D951+15</f>
        <v>31015</v>
      </c>
    </row>
    <row r="952" spans="1:5" ht="15" x14ac:dyDescent="0.2">
      <c r="B952" s="8" t="s">
        <v>488</v>
      </c>
      <c r="C952" s="8" t="s">
        <v>37</v>
      </c>
      <c r="D952" s="76">
        <v>24000</v>
      </c>
      <c r="E952" s="76">
        <f t="shared" si="7"/>
        <v>24015</v>
      </c>
    </row>
    <row r="953" spans="1:5" ht="15" x14ac:dyDescent="0.2">
      <c r="B953" s="8" t="s">
        <v>490</v>
      </c>
      <c r="C953" s="8" t="s">
        <v>3</v>
      </c>
      <c r="D953" s="76">
        <v>53000</v>
      </c>
      <c r="E953" s="76">
        <f t="shared" si="7"/>
        <v>53015</v>
      </c>
    </row>
    <row r="954" spans="1:5" ht="15" x14ac:dyDescent="0.2">
      <c r="B954" s="8" t="s">
        <v>492</v>
      </c>
      <c r="C954" s="8" t="s">
        <v>6</v>
      </c>
      <c r="D954" s="76">
        <v>109000</v>
      </c>
      <c r="E954" s="76">
        <f t="shared" si="7"/>
        <v>109015</v>
      </c>
    </row>
    <row r="955" spans="1:5" ht="15" x14ac:dyDescent="0.2">
      <c r="B955" s="8" t="s">
        <v>494</v>
      </c>
      <c r="C955" s="8" t="s">
        <v>6</v>
      </c>
      <c r="D955" s="76">
        <v>18000</v>
      </c>
      <c r="E955" s="76">
        <f t="shared" si="7"/>
        <v>18015</v>
      </c>
    </row>
    <row r="956" spans="1:5" ht="15" x14ac:dyDescent="0.2">
      <c r="B956" s="8" t="s">
        <v>496</v>
      </c>
      <c r="C956" s="8" t="s">
        <v>6</v>
      </c>
      <c r="D956" s="76">
        <v>27000</v>
      </c>
      <c r="E956" s="76">
        <f t="shared" si="7"/>
        <v>27015</v>
      </c>
    </row>
    <row r="957" spans="1:5" ht="15" x14ac:dyDescent="0.2">
      <c r="B957" s="8" t="s">
        <v>498</v>
      </c>
      <c r="C957" s="8" t="s">
        <v>6</v>
      </c>
      <c r="D957" s="76">
        <v>101000</v>
      </c>
      <c r="E957" s="76">
        <f t="shared" si="7"/>
        <v>101015</v>
      </c>
    </row>
    <row r="958" spans="1:5" ht="15" x14ac:dyDescent="0.2">
      <c r="B958" s="8" t="s">
        <v>500</v>
      </c>
      <c r="C958" s="8" t="s">
        <v>101</v>
      </c>
      <c r="D958" s="76">
        <v>24000</v>
      </c>
      <c r="E958" s="76">
        <f t="shared" si="7"/>
        <v>24015</v>
      </c>
    </row>
    <row r="959" spans="1:5" ht="15" x14ac:dyDescent="0.2">
      <c r="B959" s="8" t="s">
        <v>502</v>
      </c>
      <c r="C959" s="8" t="s">
        <v>6</v>
      </c>
      <c r="D959" s="76">
        <v>35000</v>
      </c>
      <c r="E959" s="76">
        <f t="shared" si="7"/>
        <v>35015</v>
      </c>
    </row>
    <row r="960" spans="1:5" ht="15" x14ac:dyDescent="0.2">
      <c r="B960" s="8" t="s">
        <v>504</v>
      </c>
      <c r="C960" s="8" t="s">
        <v>6</v>
      </c>
      <c r="D960" s="76">
        <v>149000</v>
      </c>
      <c r="E960" s="76">
        <f t="shared" si="7"/>
        <v>149015</v>
      </c>
    </row>
    <row r="961" spans="2:5" ht="15" x14ac:dyDescent="0.2">
      <c r="B961" s="8" t="s">
        <v>506</v>
      </c>
      <c r="C961" s="8" t="s">
        <v>6</v>
      </c>
      <c r="D961" s="76">
        <v>35000</v>
      </c>
      <c r="E961" s="76">
        <f t="shared" si="7"/>
        <v>35015</v>
      </c>
    </row>
    <row r="962" spans="2:5" ht="15" x14ac:dyDescent="0.2">
      <c r="B962" s="8" t="s">
        <v>508</v>
      </c>
      <c r="C962" s="8" t="s">
        <v>3</v>
      </c>
      <c r="D962" s="76">
        <v>35000</v>
      </c>
      <c r="E962" s="76">
        <f t="shared" si="7"/>
        <v>35015</v>
      </c>
    </row>
    <row r="963" spans="2:5" ht="15" x14ac:dyDescent="0.2">
      <c r="B963" s="8" t="s">
        <v>510</v>
      </c>
      <c r="C963" s="8" t="s">
        <v>6</v>
      </c>
      <c r="D963" s="76">
        <v>54000</v>
      </c>
      <c r="E963" s="76">
        <f t="shared" si="7"/>
        <v>54015</v>
      </c>
    </row>
    <row r="964" spans="2:5" ht="15" x14ac:dyDescent="0.2">
      <c r="B964" s="8" t="s">
        <v>512</v>
      </c>
      <c r="C964" s="8" t="s">
        <v>3</v>
      </c>
      <c r="D964" s="76">
        <v>60000</v>
      </c>
      <c r="E964" s="76">
        <f t="shared" si="7"/>
        <v>60015</v>
      </c>
    </row>
    <row r="965" spans="2:5" ht="15" x14ac:dyDescent="0.2">
      <c r="B965" s="8" t="s">
        <v>514</v>
      </c>
      <c r="C965" s="8" t="s">
        <v>6</v>
      </c>
      <c r="D965" s="76">
        <v>25000</v>
      </c>
      <c r="E965" s="76">
        <f t="shared" si="7"/>
        <v>25015</v>
      </c>
    </row>
    <row r="966" spans="2:5" ht="15" x14ac:dyDescent="0.2">
      <c r="B966" s="8" t="s">
        <v>517</v>
      </c>
      <c r="C966" s="8" t="s">
        <v>6</v>
      </c>
      <c r="D966" s="76">
        <v>30000</v>
      </c>
      <c r="E966" s="76">
        <f t="shared" si="7"/>
        <v>30015</v>
      </c>
    </row>
    <row r="967" spans="2:5" ht="15" x14ac:dyDescent="0.2">
      <c r="B967" s="8" t="s">
        <v>519</v>
      </c>
      <c r="C967" s="8" t="s">
        <v>6</v>
      </c>
      <c r="D967" s="76">
        <v>30000</v>
      </c>
      <c r="E967" s="76">
        <f t="shared" si="7"/>
        <v>30015</v>
      </c>
    </row>
    <row r="968" spans="2:5" ht="15" x14ac:dyDescent="0.2">
      <c r="B968" s="8" t="s">
        <v>521</v>
      </c>
      <c r="C968" s="8" t="s">
        <v>3</v>
      </c>
      <c r="D968" s="76">
        <v>16000</v>
      </c>
      <c r="E968" s="76">
        <f t="shared" si="7"/>
        <v>16015</v>
      </c>
    </row>
    <row r="969" spans="2:5" ht="15" x14ac:dyDescent="0.2">
      <c r="B969" s="8" t="s">
        <v>523</v>
      </c>
      <c r="C969" s="8" t="s">
        <v>6</v>
      </c>
      <c r="D969" s="76">
        <v>41500</v>
      </c>
      <c r="E969" s="76">
        <f t="shared" si="7"/>
        <v>41515</v>
      </c>
    </row>
    <row r="970" spans="2:5" ht="15" x14ac:dyDescent="0.2">
      <c r="B970" s="8" t="s">
        <v>525</v>
      </c>
      <c r="C970" s="8" t="s">
        <v>6</v>
      </c>
      <c r="D970" s="76">
        <v>88400</v>
      </c>
      <c r="E970" s="76">
        <f t="shared" si="7"/>
        <v>88415</v>
      </c>
    </row>
    <row r="971" spans="2:5" ht="15" x14ac:dyDescent="0.2">
      <c r="B971" s="8" t="s">
        <v>527</v>
      </c>
      <c r="C971" s="8" t="s">
        <v>6</v>
      </c>
      <c r="D971" s="76">
        <v>155000</v>
      </c>
      <c r="E971" s="76">
        <f t="shared" si="7"/>
        <v>155015</v>
      </c>
    </row>
    <row r="972" spans="2:5" ht="15" x14ac:dyDescent="0.2">
      <c r="B972" s="8" t="s">
        <v>529</v>
      </c>
      <c r="C972" s="8" t="s">
        <v>12</v>
      </c>
      <c r="D972" s="76">
        <v>12500</v>
      </c>
      <c r="E972" s="76">
        <f t="shared" si="7"/>
        <v>12515</v>
      </c>
    </row>
    <row r="973" spans="2:5" ht="15" x14ac:dyDescent="0.2">
      <c r="B973" s="8" t="s">
        <v>531</v>
      </c>
      <c r="C973" s="8" t="s">
        <v>6</v>
      </c>
      <c r="D973" s="76">
        <v>92000</v>
      </c>
      <c r="E973" s="76">
        <f t="shared" si="7"/>
        <v>92015</v>
      </c>
    </row>
    <row r="974" spans="2:5" ht="15" x14ac:dyDescent="0.2">
      <c r="B974" s="8" t="s">
        <v>533</v>
      </c>
      <c r="C974" s="8" t="s">
        <v>323</v>
      </c>
      <c r="D974" s="77">
        <v>48500</v>
      </c>
      <c r="E974" s="76">
        <f t="shared" si="7"/>
        <v>48515</v>
      </c>
    </row>
    <row r="975" spans="2:5" ht="15" x14ac:dyDescent="0.2">
      <c r="B975" s="8" t="s">
        <v>430</v>
      </c>
      <c r="C975" s="8" t="s">
        <v>6</v>
      </c>
      <c r="D975" s="78">
        <v>29500</v>
      </c>
      <c r="E975" s="76">
        <f t="shared" si="7"/>
        <v>29515</v>
      </c>
    </row>
    <row r="976" spans="2:5" ht="15" x14ac:dyDescent="0.2">
      <c r="B976" s="8" t="s">
        <v>432</v>
      </c>
      <c r="C976" s="8" t="s">
        <v>3</v>
      </c>
      <c r="D976" s="78">
        <v>13000</v>
      </c>
      <c r="E976" s="76">
        <f t="shared" si="7"/>
        <v>13015</v>
      </c>
    </row>
    <row r="977" spans="2:5" ht="15" x14ac:dyDescent="0.2">
      <c r="B977" s="8" t="s">
        <v>434</v>
      </c>
      <c r="C977" s="8" t="s">
        <v>6</v>
      </c>
      <c r="D977" s="78">
        <v>39000</v>
      </c>
      <c r="E977" s="76">
        <f t="shared" si="7"/>
        <v>39015</v>
      </c>
    </row>
    <row r="978" spans="2:5" ht="15" x14ac:dyDescent="0.2">
      <c r="B978" s="8" t="s">
        <v>436</v>
      </c>
      <c r="C978" s="8" t="s">
        <v>6</v>
      </c>
      <c r="D978" s="78">
        <v>67000</v>
      </c>
      <c r="E978" s="76">
        <f t="shared" si="7"/>
        <v>67015</v>
      </c>
    </row>
    <row r="979" spans="2:5" ht="15" x14ac:dyDescent="0.2">
      <c r="B979" s="8" t="s">
        <v>438</v>
      </c>
      <c r="C979" s="8" t="s">
        <v>6</v>
      </c>
      <c r="D979" s="78">
        <v>90000</v>
      </c>
      <c r="E979" s="76">
        <f t="shared" si="7"/>
        <v>90015</v>
      </c>
    </row>
    <row r="980" spans="2:5" ht="15" x14ac:dyDescent="0.2">
      <c r="B980" s="8" t="s">
        <v>440</v>
      </c>
      <c r="C980" s="8" t="s">
        <v>6</v>
      </c>
      <c r="D980" s="78">
        <v>170000</v>
      </c>
      <c r="E980" s="76">
        <f t="shared" si="7"/>
        <v>170015</v>
      </c>
    </row>
    <row r="981" spans="2:5" ht="15" x14ac:dyDescent="0.2">
      <c r="B981" s="8" t="s">
        <v>442</v>
      </c>
      <c r="C981" s="8" t="s">
        <v>3</v>
      </c>
      <c r="D981" s="78">
        <v>14000</v>
      </c>
      <c r="E981" s="76">
        <f t="shared" si="7"/>
        <v>14015</v>
      </c>
    </row>
    <row r="982" spans="2:5" ht="15" x14ac:dyDescent="0.2">
      <c r="B982" s="8" t="s">
        <v>444</v>
      </c>
      <c r="C982" s="8" t="s">
        <v>6</v>
      </c>
      <c r="D982" s="78">
        <v>56000</v>
      </c>
      <c r="E982" s="76">
        <f t="shared" si="7"/>
        <v>56015</v>
      </c>
    </row>
    <row r="983" spans="2:5" ht="15" x14ac:dyDescent="0.2">
      <c r="B983" s="8" t="s">
        <v>446</v>
      </c>
      <c r="C983" s="8" t="s">
        <v>6</v>
      </c>
      <c r="D983" s="78">
        <v>74000</v>
      </c>
      <c r="E983" s="76">
        <f t="shared" si="7"/>
        <v>74015</v>
      </c>
    </row>
    <row r="984" spans="2:5" ht="15" x14ac:dyDescent="0.2">
      <c r="B984" s="8" t="s">
        <v>448</v>
      </c>
      <c r="C984" s="8" t="s">
        <v>227</v>
      </c>
      <c r="D984" s="78">
        <v>151000</v>
      </c>
      <c r="E984" s="76">
        <f t="shared" si="7"/>
        <v>151015</v>
      </c>
    </row>
    <row r="985" spans="2:5" ht="15" x14ac:dyDescent="0.2">
      <c r="B985" s="8" t="s">
        <v>450</v>
      </c>
      <c r="C985" s="8" t="s">
        <v>451</v>
      </c>
      <c r="D985" s="78">
        <v>155000</v>
      </c>
      <c r="E985" s="76">
        <f t="shared" si="7"/>
        <v>155015</v>
      </c>
    </row>
    <row r="986" spans="2:5" ht="15" x14ac:dyDescent="0.2">
      <c r="B986" s="8" t="s">
        <v>453</v>
      </c>
      <c r="C986" s="8" t="s">
        <v>3</v>
      </c>
      <c r="D986" s="78">
        <v>28000</v>
      </c>
      <c r="E986" s="76">
        <f t="shared" si="7"/>
        <v>28015</v>
      </c>
    </row>
    <row r="987" spans="2:5" ht="15" x14ac:dyDescent="0.2">
      <c r="B987" s="8" t="s">
        <v>455</v>
      </c>
      <c r="C987" s="8" t="s">
        <v>3</v>
      </c>
      <c r="D987" s="78">
        <v>12000</v>
      </c>
      <c r="E987" s="76">
        <f t="shared" si="7"/>
        <v>12015</v>
      </c>
    </row>
    <row r="988" spans="2:5" ht="15" x14ac:dyDescent="0.2">
      <c r="B988" s="8" t="s">
        <v>457</v>
      </c>
      <c r="C988" s="8" t="s">
        <v>6</v>
      </c>
      <c r="D988" s="78">
        <v>45000</v>
      </c>
      <c r="E988" s="76">
        <f t="shared" si="7"/>
        <v>45015</v>
      </c>
    </row>
    <row r="989" spans="2:5" ht="15" x14ac:dyDescent="0.2">
      <c r="B989" s="8" t="s">
        <v>459</v>
      </c>
      <c r="C989" s="8" t="s">
        <v>6</v>
      </c>
      <c r="D989" s="78">
        <v>63000</v>
      </c>
      <c r="E989" s="76">
        <f t="shared" si="7"/>
        <v>63015</v>
      </c>
    </row>
    <row r="990" spans="2:5" ht="15" x14ac:dyDescent="0.2">
      <c r="B990" s="8" t="s">
        <v>461</v>
      </c>
      <c r="C990" s="8" t="s">
        <v>3</v>
      </c>
      <c r="D990" s="78">
        <v>40000</v>
      </c>
      <c r="E990" s="76">
        <f t="shared" si="7"/>
        <v>40015</v>
      </c>
    </row>
    <row r="991" spans="2:5" ht="15" x14ac:dyDescent="0.2">
      <c r="B991" s="8" t="s">
        <v>463</v>
      </c>
      <c r="C991" s="8" t="s">
        <v>3</v>
      </c>
      <c r="D991" s="78">
        <v>34000</v>
      </c>
      <c r="E991" s="76">
        <f t="shared" si="7"/>
        <v>34015</v>
      </c>
    </row>
    <row r="992" spans="2:5" ht="15" x14ac:dyDescent="0.2">
      <c r="B992" s="8" t="s">
        <v>465</v>
      </c>
      <c r="C992" s="8" t="s">
        <v>6</v>
      </c>
      <c r="D992" s="78">
        <v>60000</v>
      </c>
      <c r="E992" s="76">
        <f t="shared" si="7"/>
        <v>60015</v>
      </c>
    </row>
    <row r="993" spans="2:5" ht="15" x14ac:dyDescent="0.2">
      <c r="B993" s="8" t="s">
        <v>467</v>
      </c>
      <c r="C993" s="8" t="s">
        <v>6</v>
      </c>
      <c r="D993" s="78">
        <v>35000</v>
      </c>
      <c r="E993" s="76">
        <f t="shared" si="7"/>
        <v>35015</v>
      </c>
    </row>
    <row r="994" spans="2:5" ht="15" x14ac:dyDescent="0.2">
      <c r="B994" s="8" t="s">
        <v>469</v>
      </c>
      <c r="C994" s="8" t="s">
        <v>6</v>
      </c>
      <c r="D994" s="78">
        <v>15000</v>
      </c>
      <c r="E994" s="76">
        <f t="shared" si="7"/>
        <v>15015</v>
      </c>
    </row>
    <row r="995" spans="2:5" ht="15" x14ac:dyDescent="0.2">
      <c r="B995" s="8" t="s">
        <v>471</v>
      </c>
      <c r="C995" s="8" t="s">
        <v>6</v>
      </c>
      <c r="D995" s="78">
        <v>20000</v>
      </c>
      <c r="E995" s="76">
        <f t="shared" si="7"/>
        <v>20015</v>
      </c>
    </row>
    <row r="996" spans="2:5" ht="15" x14ac:dyDescent="0.2">
      <c r="B996" s="8" t="s">
        <v>473</v>
      </c>
      <c r="C996" s="8" t="s">
        <v>3</v>
      </c>
      <c r="D996" s="78">
        <v>22500</v>
      </c>
      <c r="E996" s="76">
        <f t="shared" si="7"/>
        <v>22515</v>
      </c>
    </row>
    <row r="997" spans="2:5" ht="15" x14ac:dyDescent="0.2">
      <c r="B997" s="74"/>
      <c r="C997" s="74"/>
      <c r="D997" s="78"/>
      <c r="E997" s="76"/>
    </row>
    <row r="998" spans="2:5" ht="15" x14ac:dyDescent="0.2">
      <c r="B998" s="74"/>
      <c r="C998" s="74"/>
      <c r="D998" s="78"/>
      <c r="E998" s="76"/>
    </row>
    <row r="999" spans="2:5" ht="15" x14ac:dyDescent="0.2">
      <c r="B999" s="74"/>
      <c r="C999" s="74"/>
      <c r="D999" s="78"/>
      <c r="E999" s="76"/>
    </row>
    <row r="1000" spans="2:5" ht="15" x14ac:dyDescent="0.2">
      <c r="B1000" s="74"/>
      <c r="C1000" s="74"/>
      <c r="D1000" s="78"/>
      <c r="E1000" s="76"/>
    </row>
    <row r="1001" spans="2:5" ht="15" x14ac:dyDescent="0.2">
      <c r="B1001" s="74"/>
      <c r="C1001" s="74"/>
      <c r="D1001" s="78"/>
      <c r="E1001" s="76"/>
    </row>
    <row r="1002" spans="2:5" ht="15" x14ac:dyDescent="0.2">
      <c r="B1002" s="74"/>
      <c r="C1002" s="74"/>
      <c r="D1002" s="78"/>
      <c r="E1002" s="76"/>
    </row>
    <row r="1003" spans="2:5" ht="15" x14ac:dyDescent="0.2">
      <c r="B1003" s="74"/>
      <c r="C1003" s="74"/>
      <c r="D1003" s="78"/>
      <c r="E1003" s="76"/>
    </row>
    <row r="1004" spans="2:5" ht="15" x14ac:dyDescent="0.2">
      <c r="B1004" s="74"/>
      <c r="C1004" s="74"/>
      <c r="D1004" s="78"/>
      <c r="E1004" s="76"/>
    </row>
    <row r="1005" spans="2:5" ht="15" x14ac:dyDescent="0.2">
      <c r="B1005" s="74"/>
      <c r="C1005" s="74"/>
      <c r="D1005" s="78"/>
      <c r="E1005" s="76"/>
    </row>
    <row r="1006" spans="2:5" ht="15" x14ac:dyDescent="0.2">
      <c r="B1006" s="74"/>
      <c r="C1006" s="74"/>
      <c r="D1006" s="78"/>
      <c r="E1006" s="76"/>
    </row>
    <row r="1007" spans="2:5" ht="15" x14ac:dyDescent="0.2">
      <c r="B1007" s="74"/>
      <c r="C1007" s="74"/>
      <c r="D1007" s="78"/>
      <c r="E1007" s="76"/>
    </row>
    <row r="1008" spans="2:5" ht="15" x14ac:dyDescent="0.2">
      <c r="B1008" s="74"/>
      <c r="C1008" s="74"/>
      <c r="D1008" s="78"/>
      <c r="E1008" s="76"/>
    </row>
    <row r="1009" spans="2:5" ht="15" x14ac:dyDescent="0.2">
      <c r="B1009" s="74"/>
      <c r="C1009" s="74"/>
      <c r="D1009" s="78"/>
      <c r="E1009" s="76"/>
    </row>
    <row r="1010" spans="2:5" ht="15" x14ac:dyDescent="0.2">
      <c r="B1010" s="74"/>
      <c r="C1010" s="74"/>
      <c r="D1010" s="78"/>
      <c r="E1010" s="76"/>
    </row>
    <row r="1011" spans="2:5" ht="15" x14ac:dyDescent="0.2">
      <c r="B1011" s="74"/>
      <c r="C1011" s="74"/>
      <c r="D1011" s="78"/>
      <c r="E1011" s="76"/>
    </row>
    <row r="1012" spans="2:5" ht="15" x14ac:dyDescent="0.2">
      <c r="B1012" s="74"/>
      <c r="C1012" s="74"/>
      <c r="D1012" s="78"/>
      <c r="E1012" s="76"/>
    </row>
    <row r="1013" spans="2:5" ht="15" x14ac:dyDescent="0.2">
      <c r="B1013" s="74"/>
      <c r="C1013" s="74"/>
      <c r="D1013" s="78"/>
      <c r="E1013" s="76"/>
    </row>
    <row r="1014" spans="2:5" ht="15" x14ac:dyDescent="0.2">
      <c r="B1014" s="74"/>
      <c r="C1014" s="74"/>
      <c r="D1014" s="78"/>
      <c r="E1014" s="76"/>
    </row>
    <row r="1015" spans="2:5" ht="15" x14ac:dyDescent="0.2">
      <c r="B1015" s="74"/>
      <c r="C1015" s="74"/>
      <c r="D1015" s="78"/>
      <c r="E1015" s="76"/>
    </row>
    <row r="1016" spans="2:5" ht="15" x14ac:dyDescent="0.2">
      <c r="B1016" s="74"/>
      <c r="C1016" s="74"/>
      <c r="D1016" s="78"/>
      <c r="E1016" s="76"/>
    </row>
    <row r="1017" spans="2:5" ht="15" x14ac:dyDescent="0.2">
      <c r="B1017" s="74"/>
      <c r="C1017" s="74"/>
      <c r="D1017" s="78"/>
      <c r="E1017" s="76"/>
    </row>
    <row r="1018" spans="2:5" ht="15" x14ac:dyDescent="0.2">
      <c r="B1018" s="74"/>
      <c r="C1018" s="74"/>
      <c r="D1018" s="78"/>
      <c r="E1018" s="76"/>
    </row>
    <row r="1019" spans="2:5" ht="15" x14ac:dyDescent="0.2">
      <c r="B1019" s="74"/>
      <c r="C1019" s="74"/>
      <c r="D1019" s="78"/>
      <c r="E1019" s="76"/>
    </row>
    <row r="1020" spans="2:5" ht="15" x14ac:dyDescent="0.2">
      <c r="B1020" s="74"/>
      <c r="C1020" s="74"/>
      <c r="D1020" s="78"/>
      <c r="E1020" s="76"/>
    </row>
    <row r="1021" spans="2:5" ht="15" x14ac:dyDescent="0.2">
      <c r="B1021" s="74"/>
      <c r="C1021" s="74"/>
      <c r="D1021" s="78"/>
      <c r="E1021" s="76"/>
    </row>
    <row r="1022" spans="2:5" ht="15" x14ac:dyDescent="0.2">
      <c r="B1022" s="74"/>
      <c r="C1022" s="74"/>
      <c r="D1022" s="78"/>
      <c r="E1022" s="76"/>
    </row>
    <row r="1023" spans="2:5" ht="15" x14ac:dyDescent="0.2">
      <c r="B1023" s="74"/>
      <c r="C1023" s="74"/>
      <c r="D1023" s="78"/>
      <c r="E1023" s="76"/>
    </row>
    <row r="1024" spans="2:5" ht="15" x14ac:dyDescent="0.2">
      <c r="B1024" s="74"/>
      <c r="C1024" s="74"/>
      <c r="D1024" s="78"/>
      <c r="E1024" s="76"/>
    </row>
    <row r="1025" spans="2:5" ht="15" x14ac:dyDescent="0.2">
      <c r="B1025" s="74"/>
      <c r="C1025" s="74"/>
      <c r="D1025" s="78"/>
      <c r="E1025" s="76"/>
    </row>
    <row r="1026" spans="2:5" ht="15" x14ac:dyDescent="0.2">
      <c r="B1026" s="74"/>
      <c r="C1026" s="74"/>
      <c r="D1026" s="78"/>
      <c r="E1026" s="76"/>
    </row>
    <row r="1027" spans="2:5" ht="15" x14ac:dyDescent="0.2">
      <c r="B1027" s="74"/>
      <c r="C1027" s="74"/>
      <c r="D1027" s="78"/>
      <c r="E1027" s="76"/>
    </row>
    <row r="1028" spans="2:5" ht="15" x14ac:dyDescent="0.2">
      <c r="B1028" s="74"/>
      <c r="C1028" s="74"/>
      <c r="D1028" s="78"/>
      <c r="E1028" s="76"/>
    </row>
    <row r="1029" spans="2:5" ht="15" x14ac:dyDescent="0.2">
      <c r="B1029" s="74"/>
      <c r="C1029" s="74"/>
      <c r="D1029" s="78"/>
      <c r="E1029" s="76"/>
    </row>
    <row r="1030" spans="2:5" ht="15" x14ac:dyDescent="0.2">
      <c r="B1030" s="74"/>
      <c r="C1030" s="74"/>
      <c r="D1030" s="78"/>
      <c r="E1030" s="76"/>
    </row>
    <row r="1031" spans="2:5" ht="15" x14ac:dyDescent="0.2">
      <c r="B1031" s="74"/>
      <c r="C1031" s="74"/>
      <c r="D1031" s="78"/>
      <c r="E1031" s="76"/>
    </row>
    <row r="1032" spans="2:5" ht="15" x14ac:dyDescent="0.2">
      <c r="B1032" s="74"/>
      <c r="C1032" s="74"/>
      <c r="D1032" s="78"/>
      <c r="E1032" s="76"/>
    </row>
    <row r="1033" spans="2:5" ht="15" x14ac:dyDescent="0.2">
      <c r="B1033" s="74"/>
      <c r="C1033" s="74"/>
      <c r="D1033" s="78"/>
      <c r="E1033" s="76"/>
    </row>
    <row r="1034" spans="2:5" ht="15" x14ac:dyDescent="0.2">
      <c r="B1034" s="74"/>
      <c r="C1034" s="74"/>
      <c r="D1034" s="78"/>
      <c r="E1034" s="76"/>
    </row>
    <row r="1035" spans="2:5" ht="15" x14ac:dyDescent="0.2">
      <c r="B1035" s="74"/>
      <c r="C1035" s="74"/>
      <c r="D1035" s="78"/>
      <c r="E1035" s="76"/>
    </row>
    <row r="1036" spans="2:5" ht="15" x14ac:dyDescent="0.2">
      <c r="B1036" s="74"/>
      <c r="C1036" s="74"/>
      <c r="D1036" s="78"/>
      <c r="E1036" s="76"/>
    </row>
    <row r="1037" spans="2:5" ht="15" x14ac:dyDescent="0.2">
      <c r="B1037" s="74"/>
      <c r="C1037" s="74"/>
      <c r="D1037" s="78"/>
      <c r="E1037" s="76"/>
    </row>
    <row r="1038" spans="2:5" ht="15" x14ac:dyDescent="0.2">
      <c r="B1038" s="74"/>
      <c r="C1038" s="74"/>
      <c r="D1038" s="78"/>
      <c r="E1038" s="76"/>
    </row>
    <row r="1039" spans="2:5" ht="15" x14ac:dyDescent="0.2">
      <c r="B1039" s="74"/>
      <c r="C1039" s="74"/>
      <c r="D1039" s="78"/>
      <c r="E1039" s="76"/>
    </row>
    <row r="1040" spans="2:5" ht="15" x14ac:dyDescent="0.2">
      <c r="B1040" s="74"/>
      <c r="C1040" s="74"/>
      <c r="D1040" s="78"/>
      <c r="E1040" s="76"/>
    </row>
    <row r="1041" spans="2:5" ht="15" x14ac:dyDescent="0.2">
      <c r="B1041" s="74"/>
      <c r="C1041" s="74"/>
      <c r="D1041" s="78"/>
      <c r="E1041" s="76"/>
    </row>
    <row r="1042" spans="2:5" ht="15" x14ac:dyDescent="0.2">
      <c r="B1042" s="74"/>
      <c r="C1042" s="74"/>
      <c r="D1042" s="78"/>
      <c r="E1042" s="76"/>
    </row>
    <row r="1043" spans="2:5" ht="15" x14ac:dyDescent="0.2">
      <c r="B1043" s="74"/>
      <c r="C1043" s="74"/>
      <c r="D1043" s="78"/>
      <c r="E1043" s="76"/>
    </row>
    <row r="1044" spans="2:5" ht="15" x14ac:dyDescent="0.2">
      <c r="B1044" s="74"/>
      <c r="C1044" s="74"/>
      <c r="D1044" s="78"/>
      <c r="E1044" s="76"/>
    </row>
    <row r="1045" spans="2:5" ht="15" x14ac:dyDescent="0.2">
      <c r="B1045" s="74"/>
      <c r="C1045" s="74"/>
      <c r="D1045" s="78"/>
      <c r="E1045" s="76"/>
    </row>
    <row r="1046" spans="2:5" ht="15" x14ac:dyDescent="0.2">
      <c r="B1046" s="74"/>
      <c r="C1046" s="74"/>
      <c r="D1046" s="78"/>
      <c r="E1046" s="76"/>
    </row>
    <row r="1047" spans="2:5" ht="15" x14ac:dyDescent="0.2">
      <c r="B1047" s="74"/>
      <c r="C1047" s="74"/>
      <c r="D1047" s="78"/>
      <c r="E1047" s="76"/>
    </row>
    <row r="1048" spans="2:5" ht="15" x14ac:dyDescent="0.2">
      <c r="B1048" s="74"/>
      <c r="C1048" s="74"/>
      <c r="D1048" s="78"/>
      <c r="E1048" s="76"/>
    </row>
    <row r="1049" spans="2:5" ht="15" x14ac:dyDescent="0.2">
      <c r="B1049" s="74"/>
      <c r="C1049" s="74"/>
      <c r="D1049" s="78"/>
      <c r="E1049" s="76"/>
    </row>
    <row r="1050" spans="2:5" ht="15" x14ac:dyDescent="0.2">
      <c r="B1050" s="74"/>
      <c r="C1050" s="74"/>
      <c r="D1050" s="78"/>
      <c r="E1050" s="76"/>
    </row>
    <row r="1051" spans="2:5" ht="15" x14ac:dyDescent="0.2">
      <c r="B1051" s="74"/>
      <c r="C1051" s="74"/>
      <c r="D1051" s="78"/>
      <c r="E1051" s="76"/>
    </row>
    <row r="1052" spans="2:5" ht="15" x14ac:dyDescent="0.2">
      <c r="B1052" s="74"/>
      <c r="C1052" s="74"/>
      <c r="D1052" s="78"/>
      <c r="E1052" s="76"/>
    </row>
    <row r="1053" spans="2:5" ht="15" x14ac:dyDescent="0.2">
      <c r="B1053" s="74"/>
      <c r="C1053" s="74"/>
      <c r="D1053" s="78"/>
      <c r="E1053" s="76"/>
    </row>
    <row r="1054" spans="2:5" ht="15" x14ac:dyDescent="0.2">
      <c r="B1054" s="74"/>
      <c r="C1054" s="74"/>
      <c r="D1054" s="78"/>
      <c r="E1054" s="76"/>
    </row>
    <row r="1055" spans="2:5" ht="15" x14ac:dyDescent="0.2">
      <c r="B1055" s="74"/>
      <c r="C1055" s="74"/>
      <c r="D1055" s="78"/>
      <c r="E1055" s="76"/>
    </row>
    <row r="1056" spans="2:5" ht="15" x14ac:dyDescent="0.2">
      <c r="B1056" s="74"/>
      <c r="C1056" s="74"/>
      <c r="D1056" s="78"/>
      <c r="E1056" s="76"/>
    </row>
    <row r="1057" spans="2:5" ht="15" x14ac:dyDescent="0.2">
      <c r="B1057" s="74"/>
      <c r="C1057" s="74"/>
      <c r="D1057" s="78"/>
      <c r="E1057" s="76"/>
    </row>
    <row r="1058" spans="2:5" ht="15" x14ac:dyDescent="0.2">
      <c r="B1058" s="74"/>
      <c r="C1058" s="74"/>
      <c r="D1058" s="78"/>
      <c r="E1058" s="76"/>
    </row>
    <row r="1059" spans="2:5" ht="15" x14ac:dyDescent="0.2">
      <c r="B1059" s="74"/>
      <c r="C1059" s="74"/>
      <c r="D1059" s="78"/>
      <c r="E1059" s="76"/>
    </row>
    <row r="1060" spans="2:5" ht="15" x14ac:dyDescent="0.2">
      <c r="B1060" s="74"/>
      <c r="C1060" s="74"/>
      <c r="D1060" s="78"/>
      <c r="E1060" s="76"/>
    </row>
    <row r="1061" spans="2:5" ht="15" x14ac:dyDescent="0.2">
      <c r="B1061" s="74"/>
      <c r="C1061" s="74"/>
      <c r="D1061" s="78"/>
      <c r="E1061" s="76"/>
    </row>
    <row r="1062" spans="2:5" ht="15" x14ac:dyDescent="0.2">
      <c r="B1062" s="74"/>
      <c r="C1062" s="74"/>
      <c r="D1062" s="78"/>
      <c r="E1062" s="76"/>
    </row>
    <row r="1063" spans="2:5" ht="15" x14ac:dyDescent="0.2">
      <c r="B1063" s="74"/>
      <c r="C1063" s="74"/>
      <c r="D1063" s="78"/>
      <c r="E1063" s="76"/>
    </row>
    <row r="1064" spans="2:5" ht="15" x14ac:dyDescent="0.2">
      <c r="B1064" s="74"/>
      <c r="C1064" s="74"/>
      <c r="D1064" s="78"/>
      <c r="E1064" s="76"/>
    </row>
    <row r="1065" spans="2:5" ht="15" x14ac:dyDescent="0.2">
      <c r="B1065" s="74"/>
      <c r="C1065" s="74"/>
      <c r="D1065" s="78"/>
      <c r="E1065" s="76"/>
    </row>
    <row r="1066" spans="2:5" ht="15" x14ac:dyDescent="0.2">
      <c r="B1066" s="74"/>
      <c r="C1066" s="74"/>
      <c r="D1066" s="78"/>
      <c r="E1066" s="76"/>
    </row>
    <row r="1067" spans="2:5" ht="15" x14ac:dyDescent="0.2">
      <c r="B1067" s="74"/>
      <c r="C1067" s="74"/>
      <c r="D1067" s="78"/>
      <c r="E1067" s="76"/>
    </row>
    <row r="1068" spans="2:5" ht="15" x14ac:dyDescent="0.2">
      <c r="B1068" s="74"/>
      <c r="C1068" s="74"/>
      <c r="D1068" s="78"/>
      <c r="E1068" s="76"/>
    </row>
    <row r="1069" spans="2:5" ht="15" x14ac:dyDescent="0.2">
      <c r="B1069" s="74"/>
      <c r="C1069" s="74"/>
      <c r="D1069" s="78"/>
      <c r="E1069" s="76"/>
    </row>
    <row r="1070" spans="2:5" ht="15" x14ac:dyDescent="0.2">
      <c r="B1070" s="74"/>
      <c r="C1070" s="74"/>
      <c r="D1070" s="78"/>
      <c r="E1070" s="76"/>
    </row>
    <row r="1071" spans="2:5" ht="15" x14ac:dyDescent="0.2">
      <c r="B1071" s="74"/>
      <c r="C1071" s="74"/>
      <c r="D1071" s="78"/>
      <c r="E1071" s="76"/>
    </row>
    <row r="1072" spans="2:5" ht="15" x14ac:dyDescent="0.2">
      <c r="B1072" s="74"/>
      <c r="C1072" s="74"/>
      <c r="D1072" s="78"/>
      <c r="E1072" s="76"/>
    </row>
    <row r="1073" spans="2:5" ht="15" x14ac:dyDescent="0.2">
      <c r="B1073" s="74"/>
      <c r="C1073" s="74"/>
      <c r="D1073" s="78"/>
      <c r="E1073" s="76"/>
    </row>
    <row r="1074" spans="2:5" ht="15" x14ac:dyDescent="0.2">
      <c r="B1074" s="74"/>
      <c r="C1074" s="74"/>
      <c r="D1074" s="78"/>
      <c r="E1074" s="76"/>
    </row>
    <row r="1075" spans="2:5" ht="15" x14ac:dyDescent="0.2">
      <c r="B1075" s="74"/>
      <c r="C1075" s="74"/>
      <c r="D1075" s="78"/>
      <c r="E1075" s="76"/>
    </row>
    <row r="1076" spans="2:5" ht="15" x14ac:dyDescent="0.2">
      <c r="B1076" s="74"/>
      <c r="C1076" s="74"/>
      <c r="D1076" s="78"/>
      <c r="E1076" s="76"/>
    </row>
    <row r="1077" spans="2:5" ht="15" x14ac:dyDescent="0.2">
      <c r="B1077" s="74"/>
      <c r="C1077" s="74"/>
      <c r="D1077" s="78"/>
      <c r="E1077" s="76"/>
    </row>
    <row r="1078" spans="2:5" ht="15" x14ac:dyDescent="0.2">
      <c r="B1078" s="74"/>
      <c r="C1078" s="74"/>
      <c r="D1078" s="78"/>
      <c r="E1078" s="76"/>
    </row>
    <row r="1079" spans="2:5" ht="15" x14ac:dyDescent="0.2">
      <c r="B1079" s="74"/>
      <c r="C1079" s="74"/>
      <c r="D1079" s="78"/>
      <c r="E1079" s="76"/>
    </row>
    <row r="1080" spans="2:5" ht="15" x14ac:dyDescent="0.2">
      <c r="B1080" s="74"/>
      <c r="C1080" s="74"/>
      <c r="D1080" s="78"/>
      <c r="E1080" s="76"/>
    </row>
    <row r="1081" spans="2:5" ht="15" x14ac:dyDescent="0.2">
      <c r="B1081" s="74"/>
      <c r="C1081" s="74"/>
      <c r="D1081" s="78"/>
      <c r="E1081" s="76"/>
    </row>
    <row r="1082" spans="2:5" ht="15" x14ac:dyDescent="0.2">
      <c r="B1082" s="74"/>
      <c r="C1082" s="74"/>
      <c r="D1082" s="78"/>
      <c r="E1082" s="76"/>
    </row>
    <row r="1083" spans="2:5" ht="15" x14ac:dyDescent="0.2">
      <c r="B1083" s="74"/>
      <c r="C1083" s="74"/>
      <c r="D1083" s="78"/>
      <c r="E1083" s="76"/>
    </row>
    <row r="1084" spans="2:5" ht="15" x14ac:dyDescent="0.2">
      <c r="B1084" s="74"/>
      <c r="C1084" s="74"/>
      <c r="D1084" s="78"/>
      <c r="E1084" s="76"/>
    </row>
    <row r="1085" spans="2:5" ht="15" x14ac:dyDescent="0.2">
      <c r="B1085" s="74"/>
      <c r="C1085" s="74"/>
      <c r="D1085" s="78"/>
      <c r="E1085" s="76"/>
    </row>
    <row r="1086" spans="2:5" ht="15" x14ac:dyDescent="0.2">
      <c r="B1086" s="74"/>
      <c r="C1086" s="74"/>
      <c r="D1086" s="78"/>
      <c r="E1086" s="76"/>
    </row>
    <row r="1087" spans="2:5" ht="15" x14ac:dyDescent="0.2">
      <c r="B1087" s="74"/>
      <c r="C1087" s="74"/>
      <c r="D1087" s="78"/>
      <c r="E1087" s="76"/>
    </row>
    <row r="1088" spans="2:5" ht="15" x14ac:dyDescent="0.2">
      <c r="B1088" s="74"/>
      <c r="C1088" s="74"/>
      <c r="D1088" s="78"/>
      <c r="E1088" s="76"/>
    </row>
    <row r="1089" spans="1:5" ht="15" x14ac:dyDescent="0.2">
      <c r="B1089" s="74"/>
      <c r="C1089" s="74"/>
      <c r="D1089" s="78"/>
      <c r="E1089" s="76"/>
    </row>
    <row r="1090" spans="1:5" ht="15" x14ac:dyDescent="0.2">
      <c r="B1090" s="74"/>
      <c r="C1090" s="74"/>
      <c r="D1090" s="78"/>
      <c r="E1090" s="76"/>
    </row>
    <row r="1091" spans="1:5" ht="15" x14ac:dyDescent="0.2">
      <c r="B1091" s="74"/>
      <c r="C1091" s="74"/>
      <c r="D1091" s="78"/>
      <c r="E1091" s="76"/>
    </row>
    <row r="1092" spans="1:5" ht="15" x14ac:dyDescent="0.2">
      <c r="B1092" s="74"/>
      <c r="C1092" s="74"/>
      <c r="D1092" s="78"/>
      <c r="E1092" s="76"/>
    </row>
    <row r="1093" spans="1:5" ht="15" x14ac:dyDescent="0.2">
      <c r="B1093" s="74"/>
      <c r="C1093" s="74"/>
      <c r="D1093" s="78"/>
      <c r="E1093" s="76"/>
    </row>
    <row r="1094" spans="1:5" ht="15" x14ac:dyDescent="0.2">
      <c r="B1094" s="74"/>
      <c r="C1094" s="74"/>
      <c r="D1094" s="78"/>
      <c r="E1094" s="76"/>
    </row>
    <row r="1095" spans="1:5" ht="15" x14ac:dyDescent="0.2">
      <c r="B1095" s="74"/>
      <c r="C1095" s="74"/>
      <c r="D1095" s="78"/>
      <c r="E1095" s="76"/>
    </row>
    <row r="1096" spans="1:5" ht="15" x14ac:dyDescent="0.2">
      <c r="B1096" s="74"/>
      <c r="C1096" s="74"/>
      <c r="D1096" s="78"/>
      <c r="E1096" s="76"/>
    </row>
    <row r="1097" spans="1:5" ht="15" x14ac:dyDescent="0.2">
      <c r="B1097" s="51"/>
      <c r="C1097" s="51"/>
      <c r="D1097" s="78"/>
      <c r="E1097" s="76"/>
    </row>
    <row r="1098" spans="1:5" ht="15" x14ac:dyDescent="0.2">
      <c r="A1098" s="53" t="s">
        <v>2432</v>
      </c>
      <c r="B1098" s="8" t="s">
        <v>475</v>
      </c>
      <c r="C1098" s="8" t="s">
        <v>101</v>
      </c>
      <c r="D1098" s="78">
        <v>46400</v>
      </c>
      <c r="E1098" s="76">
        <f t="shared" si="7"/>
        <v>46415</v>
      </c>
    </row>
    <row r="1099" spans="1:5" ht="15" x14ac:dyDescent="0.2">
      <c r="B1099" s="8" t="s">
        <v>477</v>
      </c>
      <c r="C1099" s="8" t="s">
        <v>3</v>
      </c>
      <c r="D1099" s="78">
        <v>24000</v>
      </c>
      <c r="E1099" s="76">
        <f t="shared" si="7"/>
        <v>24015</v>
      </c>
    </row>
    <row r="1100" spans="1:5" ht="15" x14ac:dyDescent="0.2">
      <c r="B1100" s="8" t="s">
        <v>479</v>
      </c>
      <c r="C1100" s="8" t="s">
        <v>6</v>
      </c>
      <c r="D1100" s="78">
        <v>40000</v>
      </c>
      <c r="E1100" s="76">
        <f t="shared" si="7"/>
        <v>40015</v>
      </c>
    </row>
    <row r="1101" spans="1:5" ht="15" x14ac:dyDescent="0.2">
      <c r="B1101" s="8" t="s">
        <v>481</v>
      </c>
      <c r="C1101" s="8" t="s">
        <v>6</v>
      </c>
      <c r="D1101" s="78">
        <v>61000</v>
      </c>
      <c r="E1101" s="76">
        <f t="shared" si="7"/>
        <v>61015</v>
      </c>
    </row>
    <row r="1102" spans="1:5" ht="15" x14ac:dyDescent="0.2">
      <c r="B1102" s="8" t="s">
        <v>483</v>
      </c>
      <c r="C1102" s="8" t="s">
        <v>6</v>
      </c>
      <c r="D1102" s="78">
        <v>145000</v>
      </c>
      <c r="E1102" s="76">
        <f t="shared" si="7"/>
        <v>145015</v>
      </c>
    </row>
    <row r="1103" spans="1:5" ht="15" x14ac:dyDescent="0.2">
      <c r="B1103" s="8" t="s">
        <v>485</v>
      </c>
      <c r="C1103" s="8" t="s">
        <v>6</v>
      </c>
      <c r="D1103" s="78">
        <v>22000</v>
      </c>
      <c r="E1103" s="76">
        <f t="shared" si="7"/>
        <v>22015</v>
      </c>
    </row>
    <row r="1104" spans="1:5" ht="15" x14ac:dyDescent="0.2">
      <c r="B1104" s="8" t="s">
        <v>487</v>
      </c>
      <c r="C1104" s="8" t="s">
        <v>6</v>
      </c>
      <c r="D1104" s="78">
        <v>45000</v>
      </c>
      <c r="E1104" s="76">
        <f t="shared" si="7"/>
        <v>45015</v>
      </c>
    </row>
    <row r="1105" spans="2:5" ht="15" x14ac:dyDescent="0.2">
      <c r="B1105" s="8" t="s">
        <v>489</v>
      </c>
      <c r="C1105" s="8" t="s">
        <v>6</v>
      </c>
      <c r="D1105" s="78">
        <v>12000</v>
      </c>
      <c r="E1105" s="76">
        <f t="shared" si="7"/>
        <v>12015</v>
      </c>
    </row>
    <row r="1106" spans="2:5" ht="15" x14ac:dyDescent="0.2">
      <c r="B1106" s="8" t="s">
        <v>491</v>
      </c>
      <c r="C1106" s="8" t="s">
        <v>6</v>
      </c>
      <c r="D1106" s="78">
        <v>18000</v>
      </c>
      <c r="E1106" s="76">
        <f t="shared" si="7"/>
        <v>18015</v>
      </c>
    </row>
    <row r="1107" spans="2:5" ht="15" x14ac:dyDescent="0.2">
      <c r="B1107" s="8" t="s">
        <v>493</v>
      </c>
      <c r="C1107" s="8" t="s">
        <v>6</v>
      </c>
      <c r="D1107" s="78">
        <v>8000</v>
      </c>
      <c r="E1107" s="76">
        <f t="shared" si="7"/>
        <v>8015</v>
      </c>
    </row>
    <row r="1108" spans="2:5" ht="15" x14ac:dyDescent="0.2">
      <c r="B1108" s="8" t="s">
        <v>495</v>
      </c>
      <c r="C1108" s="8" t="s">
        <v>6</v>
      </c>
      <c r="D1108" s="78">
        <v>60000</v>
      </c>
      <c r="E1108" s="76">
        <f t="shared" si="7"/>
        <v>60015</v>
      </c>
    </row>
    <row r="1109" spans="2:5" ht="15" x14ac:dyDescent="0.2">
      <c r="B1109" s="8" t="s">
        <v>497</v>
      </c>
      <c r="C1109" s="8" t="s">
        <v>12</v>
      </c>
      <c r="D1109" s="78">
        <v>42500</v>
      </c>
      <c r="E1109" s="76">
        <f t="shared" si="7"/>
        <v>42515</v>
      </c>
    </row>
    <row r="1110" spans="2:5" ht="15" x14ac:dyDescent="0.2">
      <c r="B1110" s="8" t="s">
        <v>499</v>
      </c>
      <c r="C1110" s="8" t="s">
        <v>12</v>
      </c>
      <c r="D1110" s="78">
        <v>11000</v>
      </c>
      <c r="E1110" s="76">
        <f t="shared" si="7"/>
        <v>11015</v>
      </c>
    </row>
    <row r="1111" spans="2:5" ht="15" x14ac:dyDescent="0.2">
      <c r="B1111" s="8" t="s">
        <v>501</v>
      </c>
      <c r="C1111" s="8" t="s">
        <v>12</v>
      </c>
      <c r="D1111" s="78">
        <v>25500</v>
      </c>
      <c r="E1111" s="76">
        <f t="shared" si="7"/>
        <v>25515</v>
      </c>
    </row>
    <row r="1112" spans="2:5" ht="15" x14ac:dyDescent="0.2">
      <c r="B1112" s="8" t="s">
        <v>503</v>
      </c>
      <c r="C1112" s="8" t="s">
        <v>6</v>
      </c>
      <c r="D1112" s="78">
        <v>4500</v>
      </c>
      <c r="E1112" s="76">
        <f t="shared" si="7"/>
        <v>4515</v>
      </c>
    </row>
    <row r="1113" spans="2:5" ht="15" x14ac:dyDescent="0.2">
      <c r="B1113" s="8" t="s">
        <v>505</v>
      </c>
      <c r="C1113" s="8" t="s">
        <v>6</v>
      </c>
      <c r="D1113" s="78">
        <v>4000</v>
      </c>
      <c r="E1113" s="76">
        <f t="shared" si="7"/>
        <v>4015</v>
      </c>
    </row>
    <row r="1114" spans="2:5" ht="15" x14ac:dyDescent="0.2">
      <c r="B1114" s="8" t="s">
        <v>507</v>
      </c>
      <c r="C1114" s="8" t="s">
        <v>6</v>
      </c>
      <c r="D1114" s="78">
        <v>42000</v>
      </c>
      <c r="E1114" s="76">
        <f t="shared" si="7"/>
        <v>42015</v>
      </c>
    </row>
    <row r="1115" spans="2:5" ht="15" x14ac:dyDescent="0.2">
      <c r="B1115" s="8" t="s">
        <v>509</v>
      </c>
      <c r="C1115" s="8" t="s">
        <v>6</v>
      </c>
      <c r="D1115" s="78">
        <v>25500</v>
      </c>
      <c r="E1115" s="76">
        <f t="shared" si="7"/>
        <v>25515</v>
      </c>
    </row>
    <row r="1116" spans="2:5" ht="15" x14ac:dyDescent="0.2">
      <c r="B1116" s="74"/>
      <c r="C1116" s="74"/>
      <c r="D1116" s="78"/>
      <c r="E1116" s="76"/>
    </row>
    <row r="1117" spans="2:5" ht="15" x14ac:dyDescent="0.2">
      <c r="B1117" s="74"/>
      <c r="C1117" s="74"/>
      <c r="D1117" s="78"/>
      <c r="E1117" s="76"/>
    </row>
    <row r="1118" spans="2:5" ht="15" x14ac:dyDescent="0.2">
      <c r="B1118" s="74"/>
      <c r="C1118" s="74"/>
      <c r="D1118" s="78"/>
      <c r="E1118" s="76"/>
    </row>
    <row r="1119" spans="2:5" ht="15" x14ac:dyDescent="0.2">
      <c r="B1119" s="74"/>
      <c r="C1119" s="74"/>
      <c r="D1119" s="78"/>
      <c r="E1119" s="76"/>
    </row>
    <row r="1120" spans="2:5" ht="15" x14ac:dyDescent="0.2">
      <c r="B1120" s="74"/>
      <c r="C1120" s="74"/>
      <c r="D1120" s="78"/>
      <c r="E1120" s="76"/>
    </row>
    <row r="1121" spans="2:5" ht="15" x14ac:dyDescent="0.2">
      <c r="B1121" s="74"/>
      <c r="C1121" s="74"/>
      <c r="D1121" s="78"/>
      <c r="E1121" s="76"/>
    </row>
    <row r="1122" spans="2:5" ht="15" x14ac:dyDescent="0.2">
      <c r="B1122" s="74"/>
      <c r="C1122" s="74"/>
      <c r="D1122" s="78"/>
      <c r="E1122" s="76"/>
    </row>
    <row r="1123" spans="2:5" ht="15" x14ac:dyDescent="0.2">
      <c r="B1123" s="74"/>
      <c r="C1123" s="74"/>
      <c r="D1123" s="78"/>
      <c r="E1123" s="76"/>
    </row>
    <row r="1124" spans="2:5" ht="15" x14ac:dyDescent="0.2">
      <c r="B1124" s="74"/>
      <c r="C1124" s="74"/>
      <c r="D1124" s="78"/>
      <c r="E1124" s="76"/>
    </row>
    <row r="1125" spans="2:5" ht="15" x14ac:dyDescent="0.2">
      <c r="B1125" s="74"/>
      <c r="C1125" s="74"/>
      <c r="D1125" s="78"/>
      <c r="E1125" s="76"/>
    </row>
    <row r="1126" spans="2:5" ht="15" x14ac:dyDescent="0.2">
      <c r="B1126" s="74"/>
      <c r="C1126" s="74"/>
      <c r="D1126" s="78"/>
      <c r="E1126" s="76"/>
    </row>
    <row r="1127" spans="2:5" ht="15" x14ac:dyDescent="0.2">
      <c r="B1127" s="74"/>
      <c r="C1127" s="74"/>
      <c r="D1127" s="78"/>
      <c r="E1127" s="76"/>
    </row>
    <row r="1128" spans="2:5" ht="15" x14ac:dyDescent="0.2">
      <c r="B1128" s="74"/>
      <c r="C1128" s="74"/>
      <c r="D1128" s="78"/>
      <c r="E1128" s="76"/>
    </row>
    <row r="1129" spans="2:5" ht="15" x14ac:dyDescent="0.2">
      <c r="B1129" s="74"/>
      <c r="C1129" s="74"/>
      <c r="D1129" s="78"/>
      <c r="E1129" s="76"/>
    </row>
    <row r="1130" spans="2:5" ht="15" x14ac:dyDescent="0.2">
      <c r="B1130" s="74"/>
      <c r="C1130" s="74"/>
      <c r="D1130" s="78"/>
      <c r="E1130" s="76"/>
    </row>
    <row r="1131" spans="2:5" ht="15" x14ac:dyDescent="0.2">
      <c r="B1131" s="74"/>
      <c r="C1131" s="74"/>
      <c r="D1131" s="78"/>
      <c r="E1131" s="76"/>
    </row>
    <row r="1132" spans="2:5" ht="15" x14ac:dyDescent="0.2">
      <c r="B1132" s="74"/>
      <c r="C1132" s="74"/>
      <c r="D1132" s="78"/>
      <c r="E1132" s="76"/>
    </row>
    <row r="1133" spans="2:5" ht="15" x14ac:dyDescent="0.2">
      <c r="B1133" s="74"/>
      <c r="C1133" s="74"/>
      <c r="D1133" s="78"/>
      <c r="E1133" s="76"/>
    </row>
    <row r="1134" spans="2:5" ht="15" x14ac:dyDescent="0.2">
      <c r="B1134" s="74"/>
      <c r="C1134" s="74"/>
      <c r="D1134" s="78"/>
      <c r="E1134" s="76"/>
    </row>
    <row r="1135" spans="2:5" ht="15" x14ac:dyDescent="0.2">
      <c r="B1135" s="74"/>
      <c r="C1135" s="74"/>
      <c r="D1135" s="78"/>
      <c r="E1135" s="76"/>
    </row>
    <row r="1136" spans="2:5" ht="15" x14ac:dyDescent="0.2">
      <c r="B1136" s="74"/>
      <c r="C1136" s="74"/>
      <c r="D1136" s="78"/>
      <c r="E1136" s="76"/>
    </row>
    <row r="1137" spans="2:5" ht="15" x14ac:dyDescent="0.2">
      <c r="B1137" s="74"/>
      <c r="C1137" s="74"/>
      <c r="D1137" s="78"/>
      <c r="E1137" s="76"/>
    </row>
    <row r="1138" spans="2:5" ht="15" x14ac:dyDescent="0.2">
      <c r="B1138" s="74"/>
      <c r="C1138" s="74"/>
      <c r="D1138" s="78"/>
      <c r="E1138" s="76"/>
    </row>
    <row r="1139" spans="2:5" ht="15" x14ac:dyDescent="0.2">
      <c r="B1139" s="74"/>
      <c r="C1139" s="74"/>
      <c r="D1139" s="78"/>
      <c r="E1139" s="76"/>
    </row>
    <row r="1140" spans="2:5" ht="15" x14ac:dyDescent="0.2">
      <c r="B1140" s="74"/>
      <c r="C1140" s="74"/>
      <c r="D1140" s="78"/>
      <c r="E1140" s="76"/>
    </row>
    <row r="1141" spans="2:5" ht="15" x14ac:dyDescent="0.2">
      <c r="B1141" s="74"/>
      <c r="C1141" s="74"/>
      <c r="D1141" s="78"/>
      <c r="E1141" s="76"/>
    </row>
    <row r="1142" spans="2:5" ht="15" x14ac:dyDescent="0.2">
      <c r="B1142" s="74"/>
      <c r="C1142" s="74"/>
      <c r="D1142" s="78"/>
      <c r="E1142" s="76"/>
    </row>
    <row r="1143" spans="2:5" ht="15" x14ac:dyDescent="0.2">
      <c r="B1143" s="74"/>
      <c r="C1143" s="74"/>
      <c r="D1143" s="78"/>
      <c r="E1143" s="76"/>
    </row>
    <row r="1144" spans="2:5" ht="15" x14ac:dyDescent="0.2">
      <c r="B1144" s="74"/>
      <c r="C1144" s="74"/>
      <c r="D1144" s="78"/>
      <c r="E1144" s="76"/>
    </row>
    <row r="1145" spans="2:5" ht="15" x14ac:dyDescent="0.2">
      <c r="B1145" s="74"/>
      <c r="C1145" s="74"/>
      <c r="D1145" s="78"/>
      <c r="E1145" s="76"/>
    </row>
    <row r="1146" spans="2:5" ht="15" x14ac:dyDescent="0.2">
      <c r="B1146" s="74"/>
      <c r="C1146" s="74"/>
      <c r="D1146" s="78"/>
      <c r="E1146" s="76"/>
    </row>
    <row r="1147" spans="2:5" ht="15" x14ac:dyDescent="0.2">
      <c r="B1147" s="74"/>
      <c r="C1147" s="74"/>
      <c r="D1147" s="78"/>
      <c r="E1147" s="76"/>
    </row>
    <row r="1148" spans="2:5" ht="15" x14ac:dyDescent="0.2">
      <c r="B1148" s="74"/>
      <c r="C1148" s="74"/>
      <c r="D1148" s="78"/>
      <c r="E1148" s="76"/>
    </row>
    <row r="1149" spans="2:5" ht="15" x14ac:dyDescent="0.2">
      <c r="B1149" s="74"/>
      <c r="C1149" s="74"/>
      <c r="D1149" s="78"/>
      <c r="E1149" s="76"/>
    </row>
    <row r="1150" spans="2:5" ht="15" x14ac:dyDescent="0.2">
      <c r="B1150" s="74"/>
      <c r="C1150" s="74"/>
      <c r="D1150" s="78"/>
      <c r="E1150" s="76"/>
    </row>
    <row r="1151" spans="2:5" ht="15" x14ac:dyDescent="0.2">
      <c r="B1151" s="74"/>
      <c r="C1151" s="74"/>
      <c r="D1151" s="78"/>
      <c r="E1151" s="76"/>
    </row>
    <row r="1152" spans="2:5" ht="15" x14ac:dyDescent="0.2">
      <c r="B1152" s="74"/>
      <c r="C1152" s="74"/>
      <c r="D1152" s="78"/>
      <c r="E1152" s="76"/>
    </row>
    <row r="1153" spans="2:5" ht="15" x14ac:dyDescent="0.2">
      <c r="B1153" s="74"/>
      <c r="C1153" s="74"/>
      <c r="D1153" s="78"/>
      <c r="E1153" s="76"/>
    </row>
    <row r="1154" spans="2:5" ht="15" x14ac:dyDescent="0.2">
      <c r="B1154" s="74"/>
      <c r="C1154" s="74"/>
      <c r="D1154" s="78"/>
      <c r="E1154" s="76"/>
    </row>
    <row r="1155" spans="2:5" ht="15" x14ac:dyDescent="0.2">
      <c r="B1155" s="74"/>
      <c r="C1155" s="74"/>
      <c r="D1155" s="78"/>
      <c r="E1155" s="76"/>
    </row>
    <row r="1156" spans="2:5" ht="15" x14ac:dyDescent="0.2">
      <c r="B1156" s="74"/>
      <c r="C1156" s="74"/>
      <c r="D1156" s="78"/>
      <c r="E1156" s="76"/>
    </row>
    <row r="1157" spans="2:5" ht="15" x14ac:dyDescent="0.2">
      <c r="B1157" s="74"/>
      <c r="C1157" s="74"/>
      <c r="D1157" s="78"/>
      <c r="E1157" s="76"/>
    </row>
    <row r="1158" spans="2:5" ht="15" x14ac:dyDescent="0.2">
      <c r="B1158" s="74"/>
      <c r="C1158" s="74"/>
      <c r="D1158" s="78"/>
      <c r="E1158" s="76"/>
    </row>
    <row r="1159" spans="2:5" ht="15" x14ac:dyDescent="0.2">
      <c r="B1159" s="74"/>
      <c r="C1159" s="74"/>
      <c r="D1159" s="78"/>
      <c r="E1159" s="76"/>
    </row>
    <row r="1160" spans="2:5" ht="15" x14ac:dyDescent="0.2">
      <c r="B1160" s="74"/>
      <c r="C1160" s="74"/>
      <c r="D1160" s="78"/>
      <c r="E1160" s="76"/>
    </row>
    <row r="1161" spans="2:5" ht="15" x14ac:dyDescent="0.2">
      <c r="B1161" s="74"/>
      <c r="C1161" s="74"/>
      <c r="D1161" s="78"/>
      <c r="E1161" s="76"/>
    </row>
    <row r="1162" spans="2:5" ht="15" x14ac:dyDescent="0.2">
      <c r="B1162" s="74"/>
      <c r="C1162" s="74"/>
      <c r="D1162" s="78"/>
      <c r="E1162" s="76"/>
    </row>
    <row r="1163" spans="2:5" ht="15" x14ac:dyDescent="0.2">
      <c r="B1163" s="74"/>
      <c r="C1163" s="74"/>
      <c r="D1163" s="78"/>
      <c r="E1163" s="76"/>
    </row>
    <row r="1164" spans="2:5" ht="15" x14ac:dyDescent="0.2">
      <c r="B1164" s="74"/>
      <c r="C1164" s="74"/>
      <c r="D1164" s="78"/>
      <c r="E1164" s="76"/>
    </row>
    <row r="1165" spans="2:5" ht="15" x14ac:dyDescent="0.2">
      <c r="B1165" s="74"/>
      <c r="C1165" s="74"/>
      <c r="D1165" s="78"/>
      <c r="E1165" s="76"/>
    </row>
    <row r="1166" spans="2:5" ht="15" x14ac:dyDescent="0.2">
      <c r="B1166" s="74"/>
      <c r="C1166" s="74"/>
      <c r="D1166" s="78"/>
      <c r="E1166" s="76"/>
    </row>
    <row r="1167" spans="2:5" ht="15" x14ac:dyDescent="0.2">
      <c r="B1167" s="74"/>
      <c r="C1167" s="74"/>
      <c r="D1167" s="78"/>
      <c r="E1167" s="76"/>
    </row>
    <row r="1168" spans="2:5" ht="15" x14ac:dyDescent="0.2">
      <c r="B1168" s="74"/>
      <c r="C1168" s="74"/>
      <c r="D1168" s="78"/>
      <c r="E1168" s="76"/>
    </row>
    <row r="1169" spans="2:5" ht="15" x14ac:dyDescent="0.2">
      <c r="B1169" s="74"/>
      <c r="C1169" s="74"/>
      <c r="D1169" s="78"/>
      <c r="E1169" s="76"/>
    </row>
    <row r="1170" spans="2:5" ht="15" x14ac:dyDescent="0.2">
      <c r="B1170" s="74"/>
      <c r="C1170" s="74"/>
      <c r="D1170" s="78"/>
      <c r="E1170" s="76"/>
    </row>
    <row r="1171" spans="2:5" ht="15" x14ac:dyDescent="0.2">
      <c r="B1171" s="74"/>
      <c r="C1171" s="74"/>
      <c r="D1171" s="78"/>
      <c r="E1171" s="76"/>
    </row>
    <row r="1172" spans="2:5" ht="15" x14ac:dyDescent="0.2">
      <c r="B1172" s="74"/>
      <c r="C1172" s="74"/>
      <c r="D1172" s="78"/>
      <c r="E1172" s="76"/>
    </row>
    <row r="1173" spans="2:5" ht="15" x14ac:dyDescent="0.2">
      <c r="B1173" s="74"/>
      <c r="C1173" s="74"/>
      <c r="D1173" s="78"/>
      <c r="E1173" s="76"/>
    </row>
    <row r="1174" spans="2:5" ht="15" x14ac:dyDescent="0.2">
      <c r="B1174" s="74"/>
      <c r="C1174" s="74"/>
      <c r="D1174" s="78"/>
      <c r="E1174" s="76"/>
    </row>
    <row r="1175" spans="2:5" ht="15" x14ac:dyDescent="0.2">
      <c r="B1175" s="74"/>
      <c r="C1175" s="74"/>
      <c r="D1175" s="78"/>
      <c r="E1175" s="76"/>
    </row>
    <row r="1176" spans="2:5" ht="15" x14ac:dyDescent="0.2">
      <c r="B1176" s="74"/>
      <c r="C1176" s="74"/>
      <c r="D1176" s="78"/>
      <c r="E1176" s="76"/>
    </row>
    <row r="1177" spans="2:5" ht="15" x14ac:dyDescent="0.2">
      <c r="B1177" s="74"/>
      <c r="C1177" s="74"/>
      <c r="D1177" s="78"/>
      <c r="E1177" s="76"/>
    </row>
    <row r="1178" spans="2:5" ht="15" x14ac:dyDescent="0.2">
      <c r="B1178" s="74"/>
      <c r="C1178" s="74"/>
      <c r="D1178" s="78"/>
      <c r="E1178" s="76"/>
    </row>
    <row r="1179" spans="2:5" ht="15" x14ac:dyDescent="0.2">
      <c r="B1179" s="74"/>
      <c r="C1179" s="74"/>
      <c r="D1179" s="78"/>
      <c r="E1179" s="76"/>
    </row>
    <row r="1180" spans="2:5" ht="15" x14ac:dyDescent="0.2">
      <c r="B1180" s="74"/>
      <c r="C1180" s="74"/>
      <c r="D1180" s="78"/>
      <c r="E1180" s="76"/>
    </row>
    <row r="1181" spans="2:5" ht="15" x14ac:dyDescent="0.2">
      <c r="B1181" s="74"/>
      <c r="C1181" s="74"/>
      <c r="D1181" s="78"/>
      <c r="E1181" s="76"/>
    </row>
    <row r="1182" spans="2:5" ht="15" x14ac:dyDescent="0.2">
      <c r="B1182" s="74"/>
      <c r="C1182" s="74"/>
      <c r="D1182" s="78"/>
      <c r="E1182" s="76"/>
    </row>
    <row r="1183" spans="2:5" ht="15" x14ac:dyDescent="0.2">
      <c r="B1183" s="74"/>
      <c r="C1183" s="74"/>
      <c r="D1183" s="78"/>
      <c r="E1183" s="76"/>
    </row>
    <row r="1184" spans="2:5" ht="15" x14ac:dyDescent="0.2">
      <c r="B1184" s="74"/>
      <c r="C1184" s="74"/>
      <c r="D1184" s="78"/>
      <c r="E1184" s="76"/>
    </row>
    <row r="1185" spans="2:5" ht="15" x14ac:dyDescent="0.2">
      <c r="B1185" s="74"/>
      <c r="C1185" s="74"/>
      <c r="D1185" s="78"/>
      <c r="E1185" s="76"/>
    </row>
    <row r="1186" spans="2:5" ht="15" x14ac:dyDescent="0.2">
      <c r="B1186" s="74"/>
      <c r="C1186" s="74"/>
      <c r="D1186" s="78"/>
      <c r="E1186" s="76"/>
    </row>
    <row r="1187" spans="2:5" ht="15" x14ac:dyDescent="0.2">
      <c r="B1187" s="74"/>
      <c r="C1187" s="74"/>
      <c r="D1187" s="78"/>
      <c r="E1187" s="76"/>
    </row>
    <row r="1188" spans="2:5" ht="15" x14ac:dyDescent="0.2">
      <c r="B1188" s="74"/>
      <c r="C1188" s="74"/>
      <c r="D1188" s="78"/>
      <c r="E1188" s="76"/>
    </row>
    <row r="1189" spans="2:5" ht="15" x14ac:dyDescent="0.2">
      <c r="B1189" s="74"/>
      <c r="C1189" s="74"/>
      <c r="D1189" s="78"/>
      <c r="E1189" s="76"/>
    </row>
    <row r="1190" spans="2:5" ht="15" x14ac:dyDescent="0.2">
      <c r="B1190" s="74"/>
      <c r="C1190" s="74"/>
      <c r="D1190" s="78"/>
      <c r="E1190" s="76"/>
    </row>
    <row r="1191" spans="2:5" ht="15" x14ac:dyDescent="0.2">
      <c r="B1191" s="74"/>
      <c r="C1191" s="74"/>
      <c r="D1191" s="78"/>
      <c r="E1191" s="76"/>
    </row>
    <row r="1192" spans="2:5" ht="15" x14ac:dyDescent="0.2">
      <c r="B1192" s="74"/>
      <c r="C1192" s="74"/>
      <c r="D1192" s="78"/>
      <c r="E1192" s="76"/>
    </row>
    <row r="1193" spans="2:5" ht="15" x14ac:dyDescent="0.2">
      <c r="B1193" s="74"/>
      <c r="C1193" s="74"/>
      <c r="D1193" s="78"/>
      <c r="E1193" s="76"/>
    </row>
    <row r="1194" spans="2:5" ht="15" x14ac:dyDescent="0.2">
      <c r="B1194" s="74"/>
      <c r="C1194" s="74"/>
      <c r="D1194" s="78"/>
      <c r="E1194" s="76"/>
    </row>
    <row r="1195" spans="2:5" ht="15" x14ac:dyDescent="0.2">
      <c r="B1195" s="74"/>
      <c r="C1195" s="74"/>
      <c r="D1195" s="78"/>
      <c r="E1195" s="76"/>
    </row>
    <row r="1196" spans="2:5" ht="15" x14ac:dyDescent="0.2">
      <c r="B1196" s="74"/>
      <c r="C1196" s="74"/>
      <c r="D1196" s="78"/>
      <c r="E1196" s="76"/>
    </row>
    <row r="1197" spans="2:5" ht="15" x14ac:dyDescent="0.2">
      <c r="B1197" s="74"/>
      <c r="C1197" s="74"/>
      <c r="D1197" s="78"/>
      <c r="E1197" s="76"/>
    </row>
    <row r="1198" spans="2:5" ht="15" x14ac:dyDescent="0.2">
      <c r="B1198" s="74"/>
      <c r="C1198" s="74"/>
      <c r="D1198" s="78"/>
      <c r="E1198" s="76"/>
    </row>
    <row r="1199" spans="2:5" ht="15" x14ac:dyDescent="0.2">
      <c r="B1199" s="74"/>
      <c r="C1199" s="74"/>
      <c r="D1199" s="78"/>
      <c r="E1199" s="76"/>
    </row>
    <row r="1200" spans="2:5" ht="15" x14ac:dyDescent="0.2">
      <c r="B1200" s="74"/>
      <c r="C1200" s="74"/>
      <c r="D1200" s="78"/>
      <c r="E1200" s="76"/>
    </row>
    <row r="1201" spans="2:5" ht="15" x14ac:dyDescent="0.2">
      <c r="B1201" s="74"/>
      <c r="C1201" s="74"/>
      <c r="D1201" s="78"/>
      <c r="E1201" s="76"/>
    </row>
    <row r="1202" spans="2:5" ht="15" x14ac:dyDescent="0.2">
      <c r="B1202" s="74"/>
      <c r="C1202" s="74"/>
      <c r="D1202" s="78"/>
      <c r="E1202" s="76"/>
    </row>
    <row r="1203" spans="2:5" ht="15" x14ac:dyDescent="0.2">
      <c r="B1203" s="74"/>
      <c r="C1203" s="74"/>
      <c r="D1203" s="78"/>
      <c r="E1203" s="76"/>
    </row>
    <row r="1204" spans="2:5" ht="15" x14ac:dyDescent="0.2">
      <c r="B1204" s="74"/>
      <c r="C1204" s="74"/>
      <c r="D1204" s="78"/>
      <c r="E1204" s="76"/>
    </row>
    <row r="1205" spans="2:5" ht="15" x14ac:dyDescent="0.2">
      <c r="B1205" s="74"/>
      <c r="C1205" s="74"/>
      <c r="D1205" s="78"/>
      <c r="E1205" s="76"/>
    </row>
    <row r="1206" spans="2:5" ht="15" x14ac:dyDescent="0.2">
      <c r="B1206" s="74"/>
      <c r="C1206" s="74"/>
      <c r="D1206" s="78"/>
      <c r="E1206" s="76"/>
    </row>
    <row r="1207" spans="2:5" ht="15" x14ac:dyDescent="0.2">
      <c r="B1207" s="74"/>
      <c r="C1207" s="74"/>
      <c r="D1207" s="78"/>
      <c r="E1207" s="76"/>
    </row>
    <row r="1208" spans="2:5" ht="15" x14ac:dyDescent="0.2">
      <c r="B1208" s="74"/>
      <c r="C1208" s="74"/>
      <c r="D1208" s="78"/>
      <c r="E1208" s="76"/>
    </row>
    <row r="1209" spans="2:5" ht="15" x14ac:dyDescent="0.2">
      <c r="B1209" s="74"/>
      <c r="C1209" s="74"/>
      <c r="D1209" s="78"/>
      <c r="E1209" s="76"/>
    </row>
    <row r="1210" spans="2:5" ht="15" x14ac:dyDescent="0.2">
      <c r="B1210" s="74"/>
      <c r="C1210" s="74"/>
      <c r="D1210" s="78"/>
      <c r="E1210" s="76"/>
    </row>
    <row r="1211" spans="2:5" ht="15" x14ac:dyDescent="0.2">
      <c r="B1211" s="74"/>
      <c r="C1211" s="74"/>
      <c r="D1211" s="78"/>
      <c r="E1211" s="76"/>
    </row>
    <row r="1212" spans="2:5" ht="15" x14ac:dyDescent="0.2">
      <c r="B1212" s="74"/>
      <c r="C1212" s="74"/>
      <c r="D1212" s="78"/>
      <c r="E1212" s="76"/>
    </row>
    <row r="1213" spans="2:5" ht="15" x14ac:dyDescent="0.2">
      <c r="B1213" s="74"/>
      <c r="C1213" s="74"/>
      <c r="D1213" s="78"/>
      <c r="E1213" s="76"/>
    </row>
    <row r="1214" spans="2:5" ht="15" x14ac:dyDescent="0.2">
      <c r="B1214" s="74"/>
      <c r="C1214" s="74"/>
      <c r="D1214" s="78"/>
      <c r="E1214" s="76"/>
    </row>
    <row r="1215" spans="2:5" ht="15" x14ac:dyDescent="0.2">
      <c r="B1215" s="74"/>
      <c r="C1215" s="74"/>
      <c r="D1215" s="78"/>
      <c r="E1215" s="76"/>
    </row>
    <row r="1216" spans="2:5" ht="15" x14ac:dyDescent="0.2">
      <c r="B1216" s="8"/>
      <c r="C1216" s="8"/>
      <c r="D1216" s="78"/>
      <c r="E1216" s="76"/>
    </row>
    <row r="1217" spans="1:5" ht="15" x14ac:dyDescent="0.2">
      <c r="A1217" s="53" t="s">
        <v>2433</v>
      </c>
      <c r="B1217" s="8" t="s">
        <v>511</v>
      </c>
      <c r="C1217" s="8" t="s">
        <v>6</v>
      </c>
      <c r="D1217" s="78">
        <v>132000</v>
      </c>
      <c r="E1217" s="76">
        <f t="shared" ref="E1217:E1379" si="8">D1217+15</f>
        <v>132015</v>
      </c>
    </row>
    <row r="1218" spans="1:5" ht="15" x14ac:dyDescent="0.2">
      <c r="B1218" s="8" t="s">
        <v>513</v>
      </c>
      <c r="C1218" s="8" t="s">
        <v>3</v>
      </c>
      <c r="D1218" s="78">
        <v>68500</v>
      </c>
      <c r="E1218" s="76">
        <f t="shared" si="8"/>
        <v>68515</v>
      </c>
    </row>
    <row r="1219" spans="1:5" ht="15" x14ac:dyDescent="0.2">
      <c r="B1219" s="8" t="s">
        <v>515</v>
      </c>
      <c r="C1219" s="8" t="s">
        <v>516</v>
      </c>
      <c r="D1219" s="78">
        <v>5500</v>
      </c>
      <c r="E1219" s="76">
        <f t="shared" si="8"/>
        <v>5515</v>
      </c>
    </row>
    <row r="1220" spans="1:5" ht="15" x14ac:dyDescent="0.2">
      <c r="B1220" s="8" t="s">
        <v>518</v>
      </c>
      <c r="C1220" s="8" t="s">
        <v>516</v>
      </c>
      <c r="D1220" s="78">
        <v>3000</v>
      </c>
      <c r="E1220" s="76">
        <f t="shared" si="8"/>
        <v>3015</v>
      </c>
    </row>
    <row r="1221" spans="1:5" ht="15" x14ac:dyDescent="0.2">
      <c r="B1221" s="8" t="s">
        <v>520</v>
      </c>
      <c r="C1221" s="8" t="s">
        <v>3</v>
      </c>
      <c r="D1221" s="78">
        <v>39000</v>
      </c>
      <c r="E1221" s="76">
        <f t="shared" si="8"/>
        <v>39015</v>
      </c>
    </row>
    <row r="1222" spans="1:5" ht="15" x14ac:dyDescent="0.2">
      <c r="B1222" s="8" t="s">
        <v>522</v>
      </c>
      <c r="C1222" s="8" t="s">
        <v>6</v>
      </c>
      <c r="D1222" s="78">
        <v>160000</v>
      </c>
      <c r="E1222" s="76">
        <f t="shared" si="8"/>
        <v>160015</v>
      </c>
    </row>
    <row r="1223" spans="1:5" ht="15" x14ac:dyDescent="0.2">
      <c r="B1223" s="8" t="s">
        <v>524</v>
      </c>
      <c r="C1223" s="8" t="s">
        <v>6</v>
      </c>
      <c r="D1223" s="78">
        <v>85000</v>
      </c>
      <c r="E1223" s="76">
        <f t="shared" si="8"/>
        <v>85015</v>
      </c>
    </row>
    <row r="1224" spans="1:5" ht="15" x14ac:dyDescent="0.2">
      <c r="B1224" s="8" t="s">
        <v>526</v>
      </c>
      <c r="C1224" s="8" t="s">
        <v>6</v>
      </c>
      <c r="D1224" s="78">
        <v>79000</v>
      </c>
      <c r="E1224" s="76">
        <f t="shared" si="8"/>
        <v>79015</v>
      </c>
    </row>
    <row r="1225" spans="1:5" ht="15" x14ac:dyDescent="0.2">
      <c r="B1225" s="8" t="s">
        <v>528</v>
      </c>
      <c r="C1225" s="8" t="s">
        <v>6</v>
      </c>
      <c r="D1225" s="78">
        <v>76000</v>
      </c>
      <c r="E1225" s="76">
        <f t="shared" si="8"/>
        <v>76015</v>
      </c>
    </row>
    <row r="1226" spans="1:5" ht="15" x14ac:dyDescent="0.2">
      <c r="B1226" s="8" t="s">
        <v>530</v>
      </c>
      <c r="C1226" s="8" t="s">
        <v>101</v>
      </c>
      <c r="D1226" s="78">
        <v>38000</v>
      </c>
      <c r="E1226" s="76">
        <f t="shared" si="8"/>
        <v>38015</v>
      </c>
    </row>
    <row r="1227" spans="1:5" ht="15" x14ac:dyDescent="0.2">
      <c r="B1227" s="8" t="s">
        <v>532</v>
      </c>
      <c r="C1227" s="8" t="s">
        <v>6</v>
      </c>
      <c r="D1227" s="78">
        <v>48500</v>
      </c>
      <c r="E1227" s="76">
        <f t="shared" si="8"/>
        <v>48515</v>
      </c>
    </row>
    <row r="1228" spans="1:5" ht="15" x14ac:dyDescent="0.2">
      <c r="B1228" s="8" t="s">
        <v>534</v>
      </c>
      <c r="C1228" s="8" t="s">
        <v>535</v>
      </c>
      <c r="D1228" s="79">
        <v>27000</v>
      </c>
      <c r="E1228" s="76">
        <f t="shared" si="8"/>
        <v>27015</v>
      </c>
    </row>
    <row r="1229" spans="1:5" ht="15" x14ac:dyDescent="0.2">
      <c r="B1229" s="7" t="s">
        <v>536</v>
      </c>
      <c r="C1229" s="7" t="s">
        <v>6</v>
      </c>
      <c r="D1229" s="80">
        <v>159000</v>
      </c>
      <c r="E1229" s="76">
        <f t="shared" si="8"/>
        <v>159015</v>
      </c>
    </row>
    <row r="1230" spans="1:5" ht="15" x14ac:dyDescent="0.2">
      <c r="B1230" s="7" t="s">
        <v>538</v>
      </c>
      <c r="C1230" s="7" t="s">
        <v>12</v>
      </c>
      <c r="D1230" s="80">
        <v>13500</v>
      </c>
      <c r="E1230" s="76">
        <f t="shared" si="8"/>
        <v>13515</v>
      </c>
    </row>
    <row r="1231" spans="1:5" ht="15" x14ac:dyDescent="0.2">
      <c r="B1231" s="7" t="s">
        <v>540</v>
      </c>
      <c r="C1231" s="7" t="s">
        <v>101</v>
      </c>
      <c r="D1231" s="80">
        <v>182000</v>
      </c>
      <c r="E1231" s="76">
        <f t="shared" si="8"/>
        <v>182015</v>
      </c>
    </row>
    <row r="1232" spans="1:5" ht="15" x14ac:dyDescent="0.2">
      <c r="B1232" s="7" t="s">
        <v>542</v>
      </c>
      <c r="C1232" s="7" t="s">
        <v>6</v>
      </c>
      <c r="D1232" s="80">
        <v>108000</v>
      </c>
      <c r="E1232" s="76">
        <f t="shared" si="8"/>
        <v>108015</v>
      </c>
    </row>
    <row r="1233" spans="2:5" ht="15" x14ac:dyDescent="0.2">
      <c r="B1233" s="7" t="s">
        <v>544</v>
      </c>
      <c r="C1233" s="7" t="s">
        <v>6</v>
      </c>
      <c r="D1233" s="80">
        <v>52000</v>
      </c>
      <c r="E1233" s="76">
        <f t="shared" si="8"/>
        <v>52015</v>
      </c>
    </row>
    <row r="1234" spans="2:5" ht="15" x14ac:dyDescent="0.2">
      <c r="B1234" s="7" t="s">
        <v>546</v>
      </c>
      <c r="C1234" s="7" t="s">
        <v>3</v>
      </c>
      <c r="D1234" s="80">
        <v>180000</v>
      </c>
      <c r="E1234" s="76">
        <f t="shared" si="8"/>
        <v>180015</v>
      </c>
    </row>
    <row r="1235" spans="2:5" ht="15" x14ac:dyDescent="0.2">
      <c r="B1235" s="7" t="s">
        <v>548</v>
      </c>
      <c r="C1235" s="7" t="s">
        <v>6</v>
      </c>
      <c r="D1235" s="80">
        <v>122000</v>
      </c>
      <c r="E1235" s="76">
        <f t="shared" si="8"/>
        <v>122015</v>
      </c>
    </row>
    <row r="1236" spans="2:5" ht="15" x14ac:dyDescent="0.2">
      <c r="B1236" s="7" t="s">
        <v>550</v>
      </c>
      <c r="C1236" s="7" t="s">
        <v>6</v>
      </c>
      <c r="D1236" s="80">
        <v>43000</v>
      </c>
      <c r="E1236" s="76">
        <f t="shared" si="8"/>
        <v>43015</v>
      </c>
    </row>
    <row r="1237" spans="2:5" ht="15" x14ac:dyDescent="0.2">
      <c r="B1237" s="7" t="s">
        <v>552</v>
      </c>
      <c r="C1237" s="7" t="s">
        <v>6</v>
      </c>
      <c r="D1237" s="80">
        <v>48000</v>
      </c>
      <c r="E1237" s="76">
        <f t="shared" si="8"/>
        <v>48015</v>
      </c>
    </row>
    <row r="1238" spans="2:5" ht="15" x14ac:dyDescent="0.2">
      <c r="B1238" s="7" t="s">
        <v>554</v>
      </c>
      <c r="C1238" s="7" t="s">
        <v>6</v>
      </c>
      <c r="D1238" s="80">
        <v>42000</v>
      </c>
      <c r="E1238" s="76">
        <f t="shared" si="8"/>
        <v>42015</v>
      </c>
    </row>
    <row r="1239" spans="2:5" ht="15" x14ac:dyDescent="0.2">
      <c r="B1239" s="7" t="s">
        <v>556</v>
      </c>
      <c r="C1239" s="7" t="s">
        <v>6</v>
      </c>
      <c r="D1239" s="80">
        <v>44000</v>
      </c>
      <c r="E1239" s="76">
        <f t="shared" si="8"/>
        <v>44015</v>
      </c>
    </row>
    <row r="1240" spans="2:5" ht="15" x14ac:dyDescent="0.2">
      <c r="B1240" s="7" t="s">
        <v>558</v>
      </c>
      <c r="C1240" s="7" t="s">
        <v>6</v>
      </c>
      <c r="D1240" s="80">
        <v>39000</v>
      </c>
      <c r="E1240" s="76">
        <f t="shared" si="8"/>
        <v>39015</v>
      </c>
    </row>
    <row r="1241" spans="2:5" ht="15" x14ac:dyDescent="0.2">
      <c r="B1241" s="7" t="s">
        <v>560</v>
      </c>
      <c r="C1241" s="7" t="s">
        <v>37</v>
      </c>
      <c r="D1241" s="80">
        <v>154000</v>
      </c>
      <c r="E1241" s="76">
        <f t="shared" si="8"/>
        <v>154015</v>
      </c>
    </row>
    <row r="1242" spans="2:5" ht="15" x14ac:dyDescent="0.2">
      <c r="B1242" s="7" t="s">
        <v>562</v>
      </c>
      <c r="C1242" s="7" t="s">
        <v>6</v>
      </c>
      <c r="D1242" s="80">
        <v>258000</v>
      </c>
      <c r="E1242" s="76">
        <f t="shared" si="8"/>
        <v>258015</v>
      </c>
    </row>
    <row r="1243" spans="2:5" ht="15" x14ac:dyDescent="0.2">
      <c r="B1243" s="7" t="s">
        <v>564</v>
      </c>
      <c r="C1243" s="7" t="s">
        <v>6</v>
      </c>
      <c r="D1243" s="80">
        <v>147000</v>
      </c>
      <c r="E1243" s="76">
        <f t="shared" si="8"/>
        <v>147015</v>
      </c>
    </row>
    <row r="1244" spans="2:5" ht="15" x14ac:dyDescent="0.2">
      <c r="B1244" s="7" t="s">
        <v>566</v>
      </c>
      <c r="C1244" s="7" t="s">
        <v>6</v>
      </c>
      <c r="D1244" s="80">
        <v>3800</v>
      </c>
      <c r="E1244" s="76">
        <f t="shared" si="8"/>
        <v>3815</v>
      </c>
    </row>
    <row r="1245" spans="2:5" ht="15" x14ac:dyDescent="0.2">
      <c r="B1245" s="7" t="s">
        <v>568</v>
      </c>
      <c r="C1245" s="7" t="s">
        <v>3</v>
      </c>
      <c r="D1245" s="80">
        <v>5500</v>
      </c>
      <c r="E1245" s="76">
        <f t="shared" si="8"/>
        <v>5515</v>
      </c>
    </row>
    <row r="1246" spans="2:5" ht="15" x14ac:dyDescent="0.2">
      <c r="B1246" s="7" t="s">
        <v>570</v>
      </c>
      <c r="C1246" s="7" t="s">
        <v>6</v>
      </c>
      <c r="D1246" s="80">
        <v>30000</v>
      </c>
      <c r="E1246" s="76">
        <f t="shared" si="8"/>
        <v>30015</v>
      </c>
    </row>
    <row r="1247" spans="2:5" ht="15" x14ac:dyDescent="0.2">
      <c r="B1247" s="7" t="s">
        <v>572</v>
      </c>
      <c r="C1247" s="7" t="s">
        <v>6</v>
      </c>
      <c r="D1247" s="80">
        <v>70000</v>
      </c>
      <c r="E1247" s="76">
        <f t="shared" si="8"/>
        <v>70015</v>
      </c>
    </row>
    <row r="1248" spans="2:5" ht="15" x14ac:dyDescent="0.2">
      <c r="B1248" s="7" t="s">
        <v>574</v>
      </c>
      <c r="C1248" s="7" t="s">
        <v>6</v>
      </c>
      <c r="D1248" s="80">
        <v>262000</v>
      </c>
      <c r="E1248" s="76">
        <f t="shared" si="8"/>
        <v>262015</v>
      </c>
    </row>
    <row r="1249" spans="2:5" ht="15" x14ac:dyDescent="0.2">
      <c r="B1249" s="7" t="s">
        <v>576</v>
      </c>
      <c r="C1249" s="7" t="s">
        <v>6</v>
      </c>
      <c r="D1249" s="80">
        <v>43000</v>
      </c>
      <c r="E1249" s="76">
        <f t="shared" si="8"/>
        <v>43015</v>
      </c>
    </row>
    <row r="1250" spans="2:5" ht="15" x14ac:dyDescent="0.2">
      <c r="B1250" s="7" t="s">
        <v>578</v>
      </c>
      <c r="C1250" s="7" t="s">
        <v>6</v>
      </c>
      <c r="D1250" s="80">
        <v>25500</v>
      </c>
      <c r="E1250" s="76">
        <f t="shared" si="8"/>
        <v>25515</v>
      </c>
    </row>
    <row r="1251" spans="2:5" ht="15" x14ac:dyDescent="0.2">
      <c r="B1251" s="7" t="s">
        <v>580</v>
      </c>
      <c r="C1251" s="7" t="s">
        <v>6</v>
      </c>
      <c r="D1251" s="80">
        <v>28000</v>
      </c>
      <c r="E1251" s="76">
        <f t="shared" si="8"/>
        <v>28015</v>
      </c>
    </row>
    <row r="1252" spans="2:5" ht="15" x14ac:dyDescent="0.2">
      <c r="B1252" s="7" t="s">
        <v>582</v>
      </c>
      <c r="C1252" s="7" t="s">
        <v>6</v>
      </c>
      <c r="D1252" s="80">
        <v>30000</v>
      </c>
      <c r="E1252" s="76">
        <f t="shared" si="8"/>
        <v>30015</v>
      </c>
    </row>
    <row r="1253" spans="2:5" ht="15" x14ac:dyDescent="0.2">
      <c r="B1253" s="7" t="s">
        <v>584</v>
      </c>
      <c r="C1253" s="7" t="s">
        <v>6</v>
      </c>
      <c r="D1253" s="80">
        <v>20000</v>
      </c>
      <c r="E1253" s="76">
        <f t="shared" si="8"/>
        <v>20015</v>
      </c>
    </row>
    <row r="1254" spans="2:5" ht="15" x14ac:dyDescent="0.2">
      <c r="B1254" s="7" t="s">
        <v>586</v>
      </c>
      <c r="C1254" s="7" t="s">
        <v>6</v>
      </c>
      <c r="D1254" s="80">
        <v>39000</v>
      </c>
      <c r="E1254" s="76">
        <f t="shared" si="8"/>
        <v>39015</v>
      </c>
    </row>
    <row r="1255" spans="2:5" ht="15" x14ac:dyDescent="0.2">
      <c r="B1255" s="7" t="s">
        <v>588</v>
      </c>
      <c r="C1255" s="7" t="s">
        <v>6</v>
      </c>
      <c r="D1255" s="80">
        <v>105000</v>
      </c>
      <c r="E1255" s="76">
        <f t="shared" si="8"/>
        <v>105015</v>
      </c>
    </row>
    <row r="1256" spans="2:5" ht="15" x14ac:dyDescent="0.2">
      <c r="B1256" s="7" t="s">
        <v>590</v>
      </c>
      <c r="C1256" s="7" t="s">
        <v>6</v>
      </c>
      <c r="D1256" s="80">
        <v>153000</v>
      </c>
      <c r="E1256" s="76">
        <f t="shared" si="8"/>
        <v>153015</v>
      </c>
    </row>
    <row r="1257" spans="2:5" ht="15" x14ac:dyDescent="0.2">
      <c r="B1257" s="7" t="s">
        <v>592</v>
      </c>
      <c r="C1257" s="7" t="s">
        <v>6</v>
      </c>
      <c r="D1257" s="80">
        <v>153000</v>
      </c>
      <c r="E1257" s="76">
        <f t="shared" si="8"/>
        <v>153015</v>
      </c>
    </row>
    <row r="1258" spans="2:5" ht="15" x14ac:dyDescent="0.2">
      <c r="B1258" s="7" t="s">
        <v>594</v>
      </c>
      <c r="C1258" s="7" t="s">
        <v>3</v>
      </c>
      <c r="D1258" s="80">
        <v>44000</v>
      </c>
      <c r="E1258" s="76">
        <f t="shared" si="8"/>
        <v>44015</v>
      </c>
    </row>
    <row r="1259" spans="2:5" ht="15" x14ac:dyDescent="0.2">
      <c r="B1259" s="7" t="s">
        <v>596</v>
      </c>
      <c r="C1259" s="7" t="s">
        <v>3</v>
      </c>
      <c r="D1259" s="80">
        <v>47000</v>
      </c>
      <c r="E1259" s="76">
        <f t="shared" si="8"/>
        <v>47015</v>
      </c>
    </row>
    <row r="1260" spans="2:5" ht="15" x14ac:dyDescent="0.2">
      <c r="B1260" s="7" t="s">
        <v>598</v>
      </c>
      <c r="C1260" s="7" t="s">
        <v>6</v>
      </c>
      <c r="D1260" s="80">
        <v>26000</v>
      </c>
      <c r="E1260" s="76">
        <f t="shared" si="8"/>
        <v>26015</v>
      </c>
    </row>
    <row r="1261" spans="2:5" ht="15" x14ac:dyDescent="0.2">
      <c r="B1261" s="7" t="s">
        <v>601</v>
      </c>
      <c r="C1261" s="7" t="s">
        <v>12</v>
      </c>
      <c r="D1261" s="80">
        <v>18000</v>
      </c>
      <c r="E1261" s="76">
        <f t="shared" si="8"/>
        <v>18015</v>
      </c>
    </row>
    <row r="1262" spans="2:5" ht="15" x14ac:dyDescent="0.2">
      <c r="B1262" s="7" t="s">
        <v>603</v>
      </c>
      <c r="C1262" s="7" t="s">
        <v>101</v>
      </c>
      <c r="D1262" s="80">
        <v>155000</v>
      </c>
      <c r="E1262" s="76">
        <f t="shared" si="8"/>
        <v>155015</v>
      </c>
    </row>
    <row r="1263" spans="2:5" ht="15" x14ac:dyDescent="0.2">
      <c r="B1263" s="7" t="s">
        <v>606</v>
      </c>
      <c r="C1263" s="7" t="s">
        <v>6</v>
      </c>
      <c r="D1263" s="80">
        <v>285000</v>
      </c>
      <c r="E1263" s="76">
        <f t="shared" si="8"/>
        <v>285015</v>
      </c>
    </row>
    <row r="1264" spans="2:5" ht="15" x14ac:dyDescent="0.2">
      <c r="B1264" s="7" t="s">
        <v>609</v>
      </c>
      <c r="C1264" s="7" t="s">
        <v>3</v>
      </c>
      <c r="D1264" s="80">
        <v>32000</v>
      </c>
      <c r="E1264" s="76">
        <f t="shared" si="8"/>
        <v>32015</v>
      </c>
    </row>
    <row r="1265" spans="2:5" ht="15" x14ac:dyDescent="0.2">
      <c r="B1265" s="7" t="s">
        <v>611</v>
      </c>
      <c r="C1265" s="7" t="s">
        <v>6</v>
      </c>
      <c r="D1265" s="80">
        <v>135000</v>
      </c>
      <c r="E1265" s="76">
        <f t="shared" si="8"/>
        <v>135015</v>
      </c>
    </row>
    <row r="1266" spans="2:5" ht="15" x14ac:dyDescent="0.2">
      <c r="B1266" s="7" t="s">
        <v>613</v>
      </c>
      <c r="C1266" s="7" t="s">
        <v>12</v>
      </c>
      <c r="D1266" s="80">
        <v>7400</v>
      </c>
      <c r="E1266" s="76">
        <f t="shared" si="8"/>
        <v>7415</v>
      </c>
    </row>
    <row r="1267" spans="2:5" ht="15" x14ac:dyDescent="0.2">
      <c r="B1267" s="7" t="s">
        <v>615</v>
      </c>
      <c r="C1267" s="7" t="s">
        <v>6</v>
      </c>
      <c r="D1267" s="80">
        <v>31000</v>
      </c>
      <c r="E1267" s="76">
        <f t="shared" si="8"/>
        <v>31015</v>
      </c>
    </row>
    <row r="1268" spans="2:5" ht="15" x14ac:dyDescent="0.2">
      <c r="B1268" s="7" t="s">
        <v>617</v>
      </c>
      <c r="C1268" s="7" t="s">
        <v>6</v>
      </c>
      <c r="D1268" s="80">
        <v>190000</v>
      </c>
      <c r="E1268" s="76">
        <f t="shared" si="8"/>
        <v>190015</v>
      </c>
    </row>
    <row r="1269" spans="2:5" ht="15" x14ac:dyDescent="0.2">
      <c r="B1269" s="7" t="s">
        <v>619</v>
      </c>
      <c r="C1269" s="7" t="s">
        <v>6</v>
      </c>
      <c r="D1269" s="80">
        <v>28000</v>
      </c>
      <c r="E1269" s="76">
        <f t="shared" si="8"/>
        <v>28015</v>
      </c>
    </row>
    <row r="1270" spans="2:5" ht="15" x14ac:dyDescent="0.2">
      <c r="B1270" s="7" t="s">
        <v>621</v>
      </c>
      <c r="C1270" s="7" t="s">
        <v>3</v>
      </c>
      <c r="D1270" s="80">
        <v>11800</v>
      </c>
      <c r="E1270" s="76">
        <f t="shared" si="8"/>
        <v>11815</v>
      </c>
    </row>
    <row r="1271" spans="2:5" ht="15" x14ac:dyDescent="0.2">
      <c r="B1271" s="7" t="s">
        <v>623</v>
      </c>
      <c r="C1271" s="7" t="s">
        <v>3</v>
      </c>
      <c r="D1271" s="80">
        <v>19600</v>
      </c>
      <c r="E1271" s="76">
        <f t="shared" si="8"/>
        <v>19615</v>
      </c>
    </row>
    <row r="1272" spans="2:5" ht="15" x14ac:dyDescent="0.2">
      <c r="B1272" s="7" t="s">
        <v>625</v>
      </c>
      <c r="C1272" s="7" t="s">
        <v>3</v>
      </c>
      <c r="D1272" s="80">
        <v>5500</v>
      </c>
      <c r="E1272" s="76">
        <f t="shared" si="8"/>
        <v>5515</v>
      </c>
    </row>
    <row r="1273" spans="2:5" ht="15" x14ac:dyDescent="0.2">
      <c r="B1273" s="7" t="s">
        <v>627</v>
      </c>
      <c r="C1273" s="7" t="s">
        <v>6</v>
      </c>
      <c r="D1273" s="80">
        <v>18000</v>
      </c>
      <c r="E1273" s="76">
        <f t="shared" si="8"/>
        <v>18015</v>
      </c>
    </row>
    <row r="1274" spans="2:5" ht="15" x14ac:dyDescent="0.2">
      <c r="B1274" s="7"/>
      <c r="C1274" s="7"/>
      <c r="D1274" s="80"/>
      <c r="E1274" s="76"/>
    </row>
    <row r="1275" spans="2:5" ht="15" x14ac:dyDescent="0.2">
      <c r="B1275" s="7"/>
      <c r="C1275" s="7"/>
      <c r="D1275" s="80"/>
      <c r="E1275" s="76"/>
    </row>
    <row r="1276" spans="2:5" ht="15" x14ac:dyDescent="0.2">
      <c r="B1276" s="7"/>
      <c r="C1276" s="7"/>
      <c r="D1276" s="80"/>
      <c r="E1276" s="76"/>
    </row>
    <row r="1277" spans="2:5" ht="15" x14ac:dyDescent="0.2">
      <c r="B1277" s="7"/>
      <c r="C1277" s="7"/>
      <c r="D1277" s="80"/>
      <c r="E1277" s="76"/>
    </row>
    <row r="1278" spans="2:5" ht="15" x14ac:dyDescent="0.2">
      <c r="B1278" s="7"/>
      <c r="C1278" s="7"/>
      <c r="D1278" s="80"/>
      <c r="E1278" s="76"/>
    </row>
    <row r="1279" spans="2:5" ht="15" x14ac:dyDescent="0.2">
      <c r="B1279" s="7"/>
      <c r="C1279" s="7"/>
      <c r="D1279" s="80"/>
      <c r="E1279" s="76"/>
    </row>
    <row r="1280" spans="2:5" ht="15" x14ac:dyDescent="0.2">
      <c r="B1280" s="7"/>
      <c r="C1280" s="7"/>
      <c r="D1280" s="80"/>
      <c r="E1280" s="76"/>
    </row>
    <row r="1281" spans="2:5" ht="15" x14ac:dyDescent="0.2">
      <c r="B1281" s="7"/>
      <c r="C1281" s="7"/>
      <c r="D1281" s="80"/>
      <c r="E1281" s="76"/>
    </row>
    <row r="1282" spans="2:5" ht="15" x14ac:dyDescent="0.2">
      <c r="B1282" s="7"/>
      <c r="C1282" s="7"/>
      <c r="D1282" s="80"/>
      <c r="E1282" s="76"/>
    </row>
    <row r="1283" spans="2:5" ht="15" x14ac:dyDescent="0.2">
      <c r="B1283" s="7"/>
      <c r="C1283" s="7"/>
      <c r="D1283" s="80"/>
      <c r="E1283" s="76"/>
    </row>
    <row r="1284" spans="2:5" ht="15" x14ac:dyDescent="0.2">
      <c r="B1284" s="7"/>
      <c r="C1284" s="7"/>
      <c r="D1284" s="80"/>
      <c r="E1284" s="76"/>
    </row>
    <row r="1285" spans="2:5" ht="15" x14ac:dyDescent="0.2">
      <c r="B1285" s="7"/>
      <c r="C1285" s="7"/>
      <c r="D1285" s="80"/>
      <c r="E1285" s="76"/>
    </row>
    <row r="1286" spans="2:5" ht="15" x14ac:dyDescent="0.2">
      <c r="B1286" s="7"/>
      <c r="C1286" s="7"/>
      <c r="D1286" s="80"/>
      <c r="E1286" s="76"/>
    </row>
    <row r="1287" spans="2:5" ht="15" x14ac:dyDescent="0.2">
      <c r="B1287" s="7"/>
      <c r="C1287" s="7"/>
      <c r="D1287" s="80"/>
      <c r="E1287" s="76"/>
    </row>
    <row r="1288" spans="2:5" ht="15" x14ac:dyDescent="0.2">
      <c r="B1288" s="7"/>
      <c r="C1288" s="7"/>
      <c r="D1288" s="80"/>
      <c r="E1288" s="76"/>
    </row>
    <row r="1289" spans="2:5" ht="15" x14ac:dyDescent="0.2">
      <c r="B1289" s="7"/>
      <c r="C1289" s="7"/>
      <c r="D1289" s="80"/>
      <c r="E1289" s="76"/>
    </row>
    <row r="1290" spans="2:5" ht="15" x14ac:dyDescent="0.2">
      <c r="B1290" s="7"/>
      <c r="C1290" s="7"/>
      <c r="D1290" s="80"/>
      <c r="E1290" s="76"/>
    </row>
    <row r="1291" spans="2:5" ht="15" x14ac:dyDescent="0.2">
      <c r="B1291" s="7"/>
      <c r="C1291" s="7"/>
      <c r="D1291" s="80"/>
      <c r="E1291" s="76"/>
    </row>
    <row r="1292" spans="2:5" ht="15" x14ac:dyDescent="0.2">
      <c r="B1292" s="7"/>
      <c r="C1292" s="7"/>
      <c r="D1292" s="80"/>
      <c r="E1292" s="76"/>
    </row>
    <row r="1293" spans="2:5" ht="15" x14ac:dyDescent="0.2">
      <c r="B1293" s="7"/>
      <c r="C1293" s="7"/>
      <c r="D1293" s="80"/>
      <c r="E1293" s="76"/>
    </row>
    <row r="1294" spans="2:5" ht="15" x14ac:dyDescent="0.2">
      <c r="B1294" s="7"/>
      <c r="C1294" s="7"/>
      <c r="D1294" s="80"/>
      <c r="E1294" s="76"/>
    </row>
    <row r="1295" spans="2:5" ht="15" x14ac:dyDescent="0.2">
      <c r="B1295" s="7"/>
      <c r="C1295" s="7"/>
      <c r="D1295" s="80"/>
      <c r="E1295" s="76"/>
    </row>
    <row r="1296" spans="2:5" ht="15" x14ac:dyDescent="0.2">
      <c r="B1296" s="7"/>
      <c r="C1296" s="7"/>
      <c r="D1296" s="80"/>
      <c r="E1296" s="76"/>
    </row>
    <row r="1297" spans="2:5" ht="15" x14ac:dyDescent="0.2">
      <c r="B1297" s="7"/>
      <c r="C1297" s="7"/>
      <c r="D1297" s="80"/>
      <c r="E1297" s="76"/>
    </row>
    <row r="1298" spans="2:5" ht="15" x14ac:dyDescent="0.2">
      <c r="B1298" s="7"/>
      <c r="C1298" s="7"/>
      <c r="D1298" s="80"/>
      <c r="E1298" s="76"/>
    </row>
    <row r="1299" spans="2:5" ht="15" x14ac:dyDescent="0.2">
      <c r="B1299" s="7"/>
      <c r="C1299" s="7"/>
      <c r="D1299" s="80"/>
      <c r="E1299" s="76"/>
    </row>
    <row r="1300" spans="2:5" ht="15" x14ac:dyDescent="0.2">
      <c r="B1300" s="7"/>
      <c r="C1300" s="7"/>
      <c r="D1300" s="80"/>
      <c r="E1300" s="76"/>
    </row>
    <row r="1301" spans="2:5" ht="15" x14ac:dyDescent="0.2">
      <c r="B1301" s="7"/>
      <c r="C1301" s="7"/>
      <c r="D1301" s="80"/>
      <c r="E1301" s="76"/>
    </row>
    <row r="1302" spans="2:5" ht="15" x14ac:dyDescent="0.2">
      <c r="B1302" s="7"/>
      <c r="C1302" s="7"/>
      <c r="D1302" s="80"/>
      <c r="E1302" s="76"/>
    </row>
    <row r="1303" spans="2:5" ht="15" x14ac:dyDescent="0.2">
      <c r="B1303" s="7"/>
      <c r="C1303" s="7"/>
      <c r="D1303" s="80"/>
      <c r="E1303" s="76"/>
    </row>
    <row r="1304" spans="2:5" ht="15" x14ac:dyDescent="0.2">
      <c r="B1304" s="7"/>
      <c r="C1304" s="7"/>
      <c r="D1304" s="80"/>
      <c r="E1304" s="76"/>
    </row>
    <row r="1305" spans="2:5" ht="15" x14ac:dyDescent="0.2">
      <c r="B1305" s="7"/>
      <c r="C1305" s="7"/>
      <c r="D1305" s="80"/>
      <c r="E1305" s="76"/>
    </row>
    <row r="1306" spans="2:5" ht="15" x14ac:dyDescent="0.2">
      <c r="B1306" s="7"/>
      <c r="C1306" s="7"/>
      <c r="D1306" s="80"/>
      <c r="E1306" s="76"/>
    </row>
    <row r="1307" spans="2:5" ht="15" x14ac:dyDescent="0.2">
      <c r="B1307" s="7"/>
      <c r="C1307" s="7"/>
      <c r="D1307" s="80"/>
      <c r="E1307" s="76"/>
    </row>
    <row r="1308" spans="2:5" ht="15" x14ac:dyDescent="0.2">
      <c r="B1308" s="7"/>
      <c r="C1308" s="7"/>
      <c r="D1308" s="80"/>
      <c r="E1308" s="76"/>
    </row>
    <row r="1309" spans="2:5" ht="15" x14ac:dyDescent="0.2">
      <c r="B1309" s="7"/>
      <c r="C1309" s="7"/>
      <c r="D1309" s="80"/>
      <c r="E1309" s="76"/>
    </row>
    <row r="1310" spans="2:5" ht="15" x14ac:dyDescent="0.2">
      <c r="B1310" s="7"/>
      <c r="C1310" s="7"/>
      <c r="D1310" s="80"/>
      <c r="E1310" s="76"/>
    </row>
    <row r="1311" spans="2:5" ht="15" x14ac:dyDescent="0.2">
      <c r="B1311" s="7"/>
      <c r="C1311" s="7"/>
      <c r="D1311" s="80"/>
      <c r="E1311" s="76"/>
    </row>
    <row r="1312" spans="2:5" ht="15" x14ac:dyDescent="0.2">
      <c r="B1312" s="7"/>
      <c r="C1312" s="7"/>
      <c r="D1312" s="80"/>
      <c r="E1312" s="76"/>
    </row>
    <row r="1313" spans="2:5" ht="15" x14ac:dyDescent="0.2">
      <c r="B1313" s="7"/>
      <c r="C1313" s="7"/>
      <c r="D1313" s="80"/>
      <c r="E1313" s="76"/>
    </row>
    <row r="1314" spans="2:5" ht="15" x14ac:dyDescent="0.2">
      <c r="B1314" s="7"/>
      <c r="C1314" s="7"/>
      <c r="D1314" s="80"/>
      <c r="E1314" s="76"/>
    </row>
    <row r="1315" spans="2:5" ht="15" x14ac:dyDescent="0.2">
      <c r="B1315" s="7"/>
      <c r="C1315" s="7"/>
      <c r="D1315" s="80"/>
      <c r="E1315" s="76"/>
    </row>
    <row r="1316" spans="2:5" ht="15" x14ac:dyDescent="0.2">
      <c r="B1316" s="7"/>
      <c r="C1316" s="7"/>
      <c r="D1316" s="80"/>
      <c r="E1316" s="76"/>
    </row>
    <row r="1317" spans="2:5" ht="15" x14ac:dyDescent="0.2">
      <c r="B1317" s="7"/>
      <c r="C1317" s="7"/>
      <c r="D1317" s="80"/>
      <c r="E1317" s="76"/>
    </row>
    <row r="1318" spans="2:5" ht="15" x14ac:dyDescent="0.2">
      <c r="B1318" s="7"/>
      <c r="C1318" s="7"/>
      <c r="D1318" s="80"/>
      <c r="E1318" s="76"/>
    </row>
    <row r="1319" spans="2:5" ht="15" x14ac:dyDescent="0.2">
      <c r="B1319" s="7"/>
      <c r="C1319" s="7"/>
      <c r="D1319" s="80"/>
      <c r="E1319" s="76"/>
    </row>
    <row r="1320" spans="2:5" ht="15" x14ac:dyDescent="0.2">
      <c r="B1320" s="7"/>
      <c r="C1320" s="7"/>
      <c r="D1320" s="80"/>
      <c r="E1320" s="76"/>
    </row>
    <row r="1321" spans="2:5" ht="15" x14ac:dyDescent="0.2">
      <c r="B1321" s="7"/>
      <c r="C1321" s="7"/>
      <c r="D1321" s="80"/>
      <c r="E1321" s="76"/>
    </row>
    <row r="1322" spans="2:5" ht="15" x14ac:dyDescent="0.2">
      <c r="B1322" s="7"/>
      <c r="C1322" s="7"/>
      <c r="D1322" s="80"/>
      <c r="E1322" s="76"/>
    </row>
    <row r="1323" spans="2:5" ht="15" x14ac:dyDescent="0.2">
      <c r="B1323" s="7"/>
      <c r="C1323" s="7"/>
      <c r="D1323" s="80"/>
      <c r="E1323" s="76"/>
    </row>
    <row r="1324" spans="2:5" ht="15" x14ac:dyDescent="0.2">
      <c r="B1324" s="7"/>
      <c r="C1324" s="7"/>
      <c r="D1324" s="80"/>
      <c r="E1324" s="76"/>
    </row>
    <row r="1325" spans="2:5" ht="15" x14ac:dyDescent="0.2">
      <c r="B1325" s="7"/>
      <c r="C1325" s="7"/>
      <c r="D1325" s="80"/>
      <c r="E1325" s="76"/>
    </row>
    <row r="1326" spans="2:5" ht="15" x14ac:dyDescent="0.2">
      <c r="B1326" s="7"/>
      <c r="C1326" s="7"/>
      <c r="D1326" s="80"/>
      <c r="E1326" s="76"/>
    </row>
    <row r="1327" spans="2:5" ht="15" x14ac:dyDescent="0.2">
      <c r="B1327" s="7"/>
      <c r="C1327" s="7"/>
      <c r="D1327" s="80"/>
      <c r="E1327" s="76"/>
    </row>
    <row r="1328" spans="2:5" ht="15" x14ac:dyDescent="0.2">
      <c r="B1328" s="7"/>
      <c r="C1328" s="7"/>
      <c r="D1328" s="80"/>
      <c r="E1328" s="76"/>
    </row>
    <row r="1329" spans="2:5" ht="15" x14ac:dyDescent="0.2">
      <c r="B1329" s="7"/>
      <c r="C1329" s="7"/>
      <c r="D1329" s="80"/>
      <c r="E1329" s="76"/>
    </row>
    <row r="1330" spans="2:5" ht="15" x14ac:dyDescent="0.2">
      <c r="B1330" s="7"/>
      <c r="C1330" s="7"/>
      <c r="D1330" s="80"/>
      <c r="E1330" s="76"/>
    </row>
    <row r="1331" spans="2:5" ht="15" x14ac:dyDescent="0.2">
      <c r="B1331" s="7"/>
      <c r="C1331" s="7"/>
      <c r="D1331" s="80"/>
      <c r="E1331" s="76"/>
    </row>
    <row r="1332" spans="2:5" ht="15" x14ac:dyDescent="0.2">
      <c r="B1332" s="7"/>
      <c r="C1332" s="7"/>
      <c r="D1332" s="80"/>
      <c r="E1332" s="76"/>
    </row>
    <row r="1333" spans="2:5" ht="15" x14ac:dyDescent="0.2">
      <c r="B1333" s="7"/>
      <c r="C1333" s="7"/>
      <c r="D1333" s="80"/>
      <c r="E1333" s="76"/>
    </row>
    <row r="1334" spans="2:5" ht="15" x14ac:dyDescent="0.2">
      <c r="B1334" s="7"/>
      <c r="C1334" s="7"/>
      <c r="D1334" s="80"/>
      <c r="E1334" s="76"/>
    </row>
    <row r="1335" spans="2:5" ht="15" x14ac:dyDescent="0.2">
      <c r="B1335" s="7"/>
      <c r="C1335" s="7"/>
      <c r="D1335" s="80"/>
      <c r="E1335" s="76"/>
    </row>
    <row r="1336" spans="2:5" ht="15" x14ac:dyDescent="0.2">
      <c r="B1336" s="7"/>
      <c r="C1336" s="7"/>
      <c r="D1336" s="80"/>
      <c r="E1336" s="76"/>
    </row>
    <row r="1337" spans="2:5" ht="15" x14ac:dyDescent="0.2">
      <c r="B1337" s="7"/>
      <c r="C1337" s="7"/>
      <c r="D1337" s="80"/>
      <c r="E1337" s="76"/>
    </row>
    <row r="1338" spans="2:5" ht="15" x14ac:dyDescent="0.2">
      <c r="B1338" s="7"/>
      <c r="C1338" s="7"/>
      <c r="D1338" s="80"/>
      <c r="E1338" s="76"/>
    </row>
    <row r="1339" spans="2:5" ht="15" x14ac:dyDescent="0.2">
      <c r="B1339" s="7"/>
      <c r="C1339" s="7"/>
      <c r="D1339" s="80"/>
      <c r="E1339" s="76"/>
    </row>
    <row r="1340" spans="2:5" ht="15" x14ac:dyDescent="0.2">
      <c r="B1340" s="7"/>
      <c r="C1340" s="7"/>
      <c r="D1340" s="80"/>
      <c r="E1340" s="76"/>
    </row>
    <row r="1341" spans="2:5" ht="15" x14ac:dyDescent="0.2">
      <c r="B1341" s="7"/>
      <c r="C1341" s="7"/>
      <c r="D1341" s="80"/>
      <c r="E1341" s="76"/>
    </row>
    <row r="1342" spans="2:5" ht="15" x14ac:dyDescent="0.2">
      <c r="B1342" s="7"/>
      <c r="C1342" s="7"/>
      <c r="D1342" s="80"/>
      <c r="E1342" s="76"/>
    </row>
    <row r="1343" spans="2:5" ht="15" x14ac:dyDescent="0.2">
      <c r="B1343" s="7"/>
      <c r="C1343" s="7"/>
      <c r="D1343" s="80"/>
      <c r="E1343" s="76"/>
    </row>
    <row r="1344" spans="2:5" ht="15" x14ac:dyDescent="0.2">
      <c r="B1344" s="7"/>
      <c r="C1344" s="7"/>
      <c r="D1344" s="80"/>
      <c r="E1344" s="76"/>
    </row>
    <row r="1345" spans="2:5" ht="15" x14ac:dyDescent="0.2">
      <c r="B1345" s="7"/>
      <c r="C1345" s="7"/>
      <c r="D1345" s="80"/>
      <c r="E1345" s="76"/>
    </row>
    <row r="1346" spans="2:5" ht="15" x14ac:dyDescent="0.2">
      <c r="B1346" s="7"/>
      <c r="C1346" s="7"/>
      <c r="D1346" s="80"/>
      <c r="E1346" s="76"/>
    </row>
    <row r="1347" spans="2:5" ht="15" x14ac:dyDescent="0.2">
      <c r="B1347" s="7"/>
      <c r="C1347" s="7"/>
      <c r="D1347" s="80"/>
      <c r="E1347" s="76"/>
    </row>
    <row r="1348" spans="2:5" ht="15" x14ac:dyDescent="0.2">
      <c r="B1348" s="7"/>
      <c r="C1348" s="7"/>
      <c r="D1348" s="80"/>
      <c r="E1348" s="76"/>
    </row>
    <row r="1349" spans="2:5" ht="15" x14ac:dyDescent="0.2">
      <c r="B1349" s="7"/>
      <c r="C1349" s="7"/>
      <c r="D1349" s="80"/>
      <c r="E1349" s="76"/>
    </row>
    <row r="1350" spans="2:5" ht="15" x14ac:dyDescent="0.2">
      <c r="B1350" s="7"/>
      <c r="C1350" s="7"/>
      <c r="D1350" s="80"/>
      <c r="E1350" s="76"/>
    </row>
    <row r="1351" spans="2:5" ht="15" x14ac:dyDescent="0.2">
      <c r="B1351" s="7"/>
      <c r="C1351" s="7"/>
      <c r="D1351" s="80"/>
      <c r="E1351" s="76"/>
    </row>
    <row r="1352" spans="2:5" ht="15" x14ac:dyDescent="0.2">
      <c r="B1352" s="7"/>
      <c r="C1352" s="7"/>
      <c r="D1352" s="80"/>
      <c r="E1352" s="76"/>
    </row>
    <row r="1353" spans="2:5" ht="15" x14ac:dyDescent="0.2">
      <c r="B1353" s="7"/>
      <c r="C1353" s="7"/>
      <c r="D1353" s="80"/>
      <c r="E1353" s="76"/>
    </row>
    <row r="1354" spans="2:5" ht="15" x14ac:dyDescent="0.2">
      <c r="B1354" s="7"/>
      <c r="C1354" s="7"/>
      <c r="D1354" s="80"/>
      <c r="E1354" s="76"/>
    </row>
    <row r="1355" spans="2:5" ht="15" x14ac:dyDescent="0.2">
      <c r="B1355" s="7"/>
      <c r="C1355" s="7"/>
      <c r="D1355" s="80"/>
      <c r="E1355" s="76"/>
    </row>
    <row r="1356" spans="2:5" ht="15" x14ac:dyDescent="0.2">
      <c r="B1356" s="7"/>
      <c r="C1356" s="7"/>
      <c r="D1356" s="80"/>
      <c r="E1356" s="76"/>
    </row>
    <row r="1357" spans="2:5" ht="15" x14ac:dyDescent="0.2">
      <c r="B1357" s="7"/>
      <c r="C1357" s="7"/>
      <c r="D1357" s="80"/>
      <c r="E1357" s="76"/>
    </row>
    <row r="1358" spans="2:5" ht="15" x14ac:dyDescent="0.2">
      <c r="B1358" s="7"/>
      <c r="C1358" s="7"/>
      <c r="D1358" s="80"/>
      <c r="E1358" s="76"/>
    </row>
    <row r="1359" spans="2:5" ht="15" x14ac:dyDescent="0.2">
      <c r="B1359" s="7"/>
      <c r="C1359" s="7"/>
      <c r="D1359" s="80"/>
      <c r="E1359" s="76"/>
    </row>
    <row r="1360" spans="2:5" ht="15" x14ac:dyDescent="0.2">
      <c r="B1360" s="7"/>
      <c r="C1360" s="7"/>
      <c r="D1360" s="80"/>
      <c r="E1360" s="76"/>
    </row>
    <row r="1361" spans="1:5" ht="15" x14ac:dyDescent="0.2">
      <c r="B1361" s="7"/>
      <c r="C1361" s="7"/>
      <c r="D1361" s="80"/>
      <c r="E1361" s="76"/>
    </row>
    <row r="1362" spans="1:5" ht="15" x14ac:dyDescent="0.2">
      <c r="B1362" s="7"/>
      <c r="C1362" s="7"/>
      <c r="D1362" s="80"/>
      <c r="E1362" s="76"/>
    </row>
    <row r="1363" spans="1:5" ht="15" x14ac:dyDescent="0.2">
      <c r="B1363" s="7"/>
      <c r="C1363" s="7"/>
      <c r="D1363" s="80"/>
      <c r="E1363" s="76"/>
    </row>
    <row r="1364" spans="1:5" ht="15" x14ac:dyDescent="0.2">
      <c r="B1364" s="7"/>
      <c r="C1364" s="7"/>
      <c r="D1364" s="80"/>
      <c r="E1364" s="76"/>
    </row>
    <row r="1365" spans="1:5" ht="15" x14ac:dyDescent="0.2">
      <c r="B1365" s="7"/>
      <c r="C1365" s="7"/>
      <c r="D1365" s="80"/>
      <c r="E1365" s="76"/>
    </row>
    <row r="1366" spans="1:5" ht="15" x14ac:dyDescent="0.2">
      <c r="B1366" s="7"/>
      <c r="C1366" s="7"/>
      <c r="D1366" s="80"/>
      <c r="E1366" s="76"/>
    </row>
    <row r="1367" spans="1:5" ht="15" x14ac:dyDescent="0.2">
      <c r="B1367" s="7"/>
      <c r="C1367" s="7"/>
      <c r="D1367" s="80"/>
      <c r="E1367" s="76"/>
    </row>
    <row r="1368" spans="1:5" ht="15" x14ac:dyDescent="0.2">
      <c r="B1368" s="7"/>
      <c r="C1368" s="7"/>
      <c r="D1368" s="80"/>
      <c r="E1368" s="76"/>
    </row>
    <row r="1369" spans="1:5" ht="15" x14ac:dyDescent="0.2">
      <c r="B1369" s="7"/>
      <c r="C1369" s="7"/>
      <c r="D1369" s="80"/>
      <c r="E1369" s="76"/>
    </row>
    <row r="1370" spans="1:5" ht="15" x14ac:dyDescent="0.2">
      <c r="B1370" s="7"/>
      <c r="C1370" s="7"/>
      <c r="D1370" s="80"/>
      <c r="E1370" s="76"/>
    </row>
    <row r="1371" spans="1:5" ht="15" x14ac:dyDescent="0.2">
      <c r="B1371" s="7"/>
      <c r="C1371" s="7"/>
      <c r="D1371" s="80"/>
      <c r="E1371" s="76"/>
    </row>
    <row r="1372" spans="1:5" ht="15" x14ac:dyDescent="0.2">
      <c r="B1372" s="7"/>
      <c r="C1372" s="7"/>
      <c r="D1372" s="80"/>
      <c r="E1372" s="76"/>
    </row>
    <row r="1373" spans="1:5" ht="15" x14ac:dyDescent="0.2">
      <c r="B1373" s="7"/>
      <c r="C1373" s="7"/>
      <c r="D1373" s="80"/>
      <c r="E1373" s="76"/>
    </row>
    <row r="1374" spans="1:5" ht="15" x14ac:dyDescent="0.2">
      <c r="B1374" s="7"/>
      <c r="C1374" s="7"/>
      <c r="D1374" s="80"/>
      <c r="E1374" s="76"/>
    </row>
    <row r="1375" spans="1:5" ht="15" x14ac:dyDescent="0.2">
      <c r="A1375" s="53" t="s">
        <v>2434</v>
      </c>
      <c r="B1375" s="7" t="s">
        <v>629</v>
      </c>
      <c r="C1375" s="7" t="s">
        <v>6</v>
      </c>
      <c r="D1375" s="80">
        <v>93000</v>
      </c>
      <c r="E1375" s="76">
        <f t="shared" si="8"/>
        <v>93015</v>
      </c>
    </row>
    <row r="1376" spans="1:5" ht="15" x14ac:dyDescent="0.2">
      <c r="B1376" s="7" t="s">
        <v>631</v>
      </c>
      <c r="C1376" s="7" t="s">
        <v>6</v>
      </c>
      <c r="D1376" s="80">
        <v>39000</v>
      </c>
      <c r="E1376" s="76">
        <f t="shared" si="8"/>
        <v>39015</v>
      </c>
    </row>
    <row r="1377" spans="2:5" ht="15" x14ac:dyDescent="0.2">
      <c r="B1377" s="7" t="s">
        <v>633</v>
      </c>
      <c r="C1377" s="7" t="s">
        <v>6</v>
      </c>
      <c r="D1377" s="80">
        <v>37000</v>
      </c>
      <c r="E1377" s="76">
        <f t="shared" si="8"/>
        <v>37015</v>
      </c>
    </row>
    <row r="1378" spans="2:5" ht="15" x14ac:dyDescent="0.2">
      <c r="B1378" s="7" t="s">
        <v>635</v>
      </c>
      <c r="C1378" s="7" t="s">
        <v>3</v>
      </c>
      <c r="D1378" s="80">
        <v>76000</v>
      </c>
      <c r="E1378" s="76">
        <f t="shared" si="8"/>
        <v>76015</v>
      </c>
    </row>
    <row r="1379" spans="2:5" ht="15" x14ac:dyDescent="0.2">
      <c r="B1379" s="7" t="s">
        <v>637</v>
      </c>
      <c r="C1379" s="7" t="s">
        <v>6</v>
      </c>
      <c r="D1379" s="80">
        <v>74000</v>
      </c>
      <c r="E1379" s="76">
        <f t="shared" si="8"/>
        <v>74015</v>
      </c>
    </row>
    <row r="1380" spans="2:5" ht="15" x14ac:dyDescent="0.2">
      <c r="B1380" s="7" t="s">
        <v>639</v>
      </c>
      <c r="C1380" s="7" t="s">
        <v>6</v>
      </c>
      <c r="D1380" s="80">
        <v>54000</v>
      </c>
      <c r="E1380" s="76">
        <f t="shared" ref="E1380:E1543" si="9">D1380+15</f>
        <v>54015</v>
      </c>
    </row>
    <row r="1381" spans="2:5" ht="15" x14ac:dyDescent="0.2">
      <c r="B1381" s="7" t="s">
        <v>641</v>
      </c>
      <c r="C1381" s="7" t="s">
        <v>323</v>
      </c>
      <c r="D1381" s="81">
        <v>24000</v>
      </c>
      <c r="E1381" s="76">
        <f t="shared" si="9"/>
        <v>24015</v>
      </c>
    </row>
    <row r="1382" spans="2:5" ht="15" x14ac:dyDescent="0.2">
      <c r="B1382" s="7" t="s">
        <v>537</v>
      </c>
      <c r="C1382" s="7" t="s">
        <v>3</v>
      </c>
      <c r="D1382" s="82">
        <v>33000</v>
      </c>
      <c r="E1382" s="76">
        <f t="shared" si="9"/>
        <v>33015</v>
      </c>
    </row>
    <row r="1383" spans="2:5" ht="15" x14ac:dyDescent="0.2">
      <c r="B1383" s="7" t="s">
        <v>539</v>
      </c>
      <c r="C1383" s="7" t="s">
        <v>6</v>
      </c>
      <c r="D1383" s="82">
        <v>158000</v>
      </c>
      <c r="E1383" s="76">
        <f t="shared" si="9"/>
        <v>158015</v>
      </c>
    </row>
    <row r="1384" spans="2:5" ht="15" x14ac:dyDescent="0.2">
      <c r="B1384" s="7" t="s">
        <v>541</v>
      </c>
      <c r="C1384" s="7" t="s">
        <v>6</v>
      </c>
      <c r="D1384" s="82">
        <v>54000</v>
      </c>
      <c r="E1384" s="76">
        <f t="shared" si="9"/>
        <v>54015</v>
      </c>
    </row>
    <row r="1385" spans="2:5" ht="15" x14ac:dyDescent="0.2">
      <c r="B1385" s="7" t="s">
        <v>543</v>
      </c>
      <c r="C1385" s="7" t="s">
        <v>6</v>
      </c>
      <c r="D1385" s="82">
        <v>47000</v>
      </c>
      <c r="E1385" s="76">
        <f t="shared" si="9"/>
        <v>47015</v>
      </c>
    </row>
    <row r="1386" spans="2:5" ht="15" x14ac:dyDescent="0.2">
      <c r="B1386" s="7" t="s">
        <v>545</v>
      </c>
      <c r="C1386" s="7" t="s">
        <v>6</v>
      </c>
      <c r="D1386" s="82">
        <v>29000</v>
      </c>
      <c r="E1386" s="76">
        <f t="shared" si="9"/>
        <v>29015</v>
      </c>
    </row>
    <row r="1387" spans="2:5" ht="15" x14ac:dyDescent="0.2">
      <c r="B1387" s="7" t="s">
        <v>547</v>
      </c>
      <c r="C1387" s="7" t="s">
        <v>6</v>
      </c>
      <c r="D1387" s="82">
        <v>30500</v>
      </c>
      <c r="E1387" s="76">
        <f t="shared" si="9"/>
        <v>30515</v>
      </c>
    </row>
    <row r="1388" spans="2:5" ht="15" x14ac:dyDescent="0.2">
      <c r="B1388" s="7" t="s">
        <v>549</v>
      </c>
      <c r="C1388" s="7" t="s">
        <v>6</v>
      </c>
      <c r="D1388" s="82">
        <v>39000</v>
      </c>
      <c r="E1388" s="76">
        <f t="shared" si="9"/>
        <v>39015</v>
      </c>
    </row>
    <row r="1389" spans="2:5" ht="15" x14ac:dyDescent="0.2">
      <c r="B1389" s="7" t="s">
        <v>551</v>
      </c>
      <c r="C1389" s="7" t="s">
        <v>3</v>
      </c>
      <c r="D1389" s="82">
        <v>18000</v>
      </c>
      <c r="E1389" s="76">
        <f t="shared" si="9"/>
        <v>18015</v>
      </c>
    </row>
    <row r="1390" spans="2:5" ht="15" x14ac:dyDescent="0.2">
      <c r="B1390" s="7" t="s">
        <v>553</v>
      </c>
      <c r="C1390" s="7" t="s">
        <v>6</v>
      </c>
      <c r="D1390" s="82">
        <v>20000</v>
      </c>
      <c r="E1390" s="76">
        <f t="shared" si="9"/>
        <v>20015</v>
      </c>
    </row>
    <row r="1391" spans="2:5" ht="15" x14ac:dyDescent="0.2">
      <c r="B1391" s="7" t="s">
        <v>555</v>
      </c>
      <c r="C1391" s="7" t="s">
        <v>6</v>
      </c>
      <c r="D1391" s="82">
        <v>45000</v>
      </c>
      <c r="E1391" s="76">
        <f t="shared" si="9"/>
        <v>45015</v>
      </c>
    </row>
    <row r="1392" spans="2:5" ht="15" x14ac:dyDescent="0.2">
      <c r="B1392" s="7" t="s">
        <v>557</v>
      </c>
      <c r="C1392" s="7" t="s">
        <v>6</v>
      </c>
      <c r="D1392" s="82">
        <v>31000</v>
      </c>
      <c r="E1392" s="76">
        <f t="shared" si="9"/>
        <v>31015</v>
      </c>
    </row>
    <row r="1393" spans="2:5" ht="15" x14ac:dyDescent="0.2">
      <c r="B1393" s="7" t="s">
        <v>559</v>
      </c>
      <c r="C1393" s="7" t="s">
        <v>3</v>
      </c>
      <c r="D1393" s="82">
        <v>47000</v>
      </c>
      <c r="E1393" s="76">
        <f t="shared" si="9"/>
        <v>47015</v>
      </c>
    </row>
    <row r="1394" spans="2:5" ht="15" x14ac:dyDescent="0.2">
      <c r="B1394" s="7" t="s">
        <v>561</v>
      </c>
      <c r="C1394" s="7" t="s">
        <v>6</v>
      </c>
      <c r="D1394" s="82">
        <v>25000</v>
      </c>
      <c r="E1394" s="76">
        <f t="shared" si="9"/>
        <v>25015</v>
      </c>
    </row>
    <row r="1395" spans="2:5" ht="15" x14ac:dyDescent="0.2">
      <c r="B1395" s="7" t="s">
        <v>563</v>
      </c>
      <c r="C1395" s="7" t="s">
        <v>6</v>
      </c>
      <c r="D1395" s="82">
        <v>50000</v>
      </c>
      <c r="E1395" s="76">
        <f t="shared" si="9"/>
        <v>50015</v>
      </c>
    </row>
    <row r="1396" spans="2:5" ht="15" x14ac:dyDescent="0.2">
      <c r="B1396" s="7" t="s">
        <v>565</v>
      </c>
      <c r="C1396" s="7" t="s">
        <v>6</v>
      </c>
      <c r="D1396" s="82">
        <v>21500</v>
      </c>
      <c r="E1396" s="76">
        <f t="shared" si="9"/>
        <v>21515</v>
      </c>
    </row>
    <row r="1397" spans="2:5" ht="15" x14ac:dyDescent="0.2">
      <c r="B1397" s="7" t="s">
        <v>567</v>
      </c>
      <c r="C1397" s="7" t="s">
        <v>6</v>
      </c>
      <c r="D1397" s="82">
        <v>32000</v>
      </c>
      <c r="E1397" s="76">
        <f t="shared" si="9"/>
        <v>32015</v>
      </c>
    </row>
    <row r="1398" spans="2:5" ht="15" x14ac:dyDescent="0.2">
      <c r="B1398" s="7" t="s">
        <v>569</v>
      </c>
      <c r="C1398" s="7" t="s">
        <v>6</v>
      </c>
      <c r="D1398" s="82">
        <v>56000</v>
      </c>
      <c r="E1398" s="76">
        <f t="shared" si="9"/>
        <v>56015</v>
      </c>
    </row>
    <row r="1399" spans="2:5" ht="15" x14ac:dyDescent="0.2">
      <c r="B1399" s="7" t="s">
        <v>571</v>
      </c>
      <c r="C1399" s="7" t="s">
        <v>6</v>
      </c>
      <c r="D1399" s="82">
        <v>39000</v>
      </c>
      <c r="E1399" s="76">
        <f t="shared" si="9"/>
        <v>39015</v>
      </c>
    </row>
    <row r="1400" spans="2:5" ht="15" x14ac:dyDescent="0.2">
      <c r="B1400" s="7" t="s">
        <v>573</v>
      </c>
      <c r="C1400" s="7" t="s">
        <v>6</v>
      </c>
      <c r="D1400" s="82">
        <v>47000</v>
      </c>
      <c r="E1400" s="76">
        <f t="shared" si="9"/>
        <v>47015</v>
      </c>
    </row>
    <row r="1401" spans="2:5" ht="15" x14ac:dyDescent="0.2">
      <c r="B1401" s="7" t="s">
        <v>575</v>
      </c>
      <c r="C1401" s="7" t="s">
        <v>6</v>
      </c>
      <c r="D1401" s="82">
        <v>22500</v>
      </c>
      <c r="E1401" s="76">
        <f t="shared" si="9"/>
        <v>22515</v>
      </c>
    </row>
    <row r="1402" spans="2:5" ht="15" x14ac:dyDescent="0.2">
      <c r="B1402" s="7" t="s">
        <v>577</v>
      </c>
      <c r="C1402" s="7" t="s">
        <v>6</v>
      </c>
      <c r="D1402" s="82">
        <v>25000</v>
      </c>
      <c r="E1402" s="76">
        <f t="shared" si="9"/>
        <v>25015</v>
      </c>
    </row>
    <row r="1403" spans="2:5" ht="15" x14ac:dyDescent="0.2">
      <c r="B1403" s="7" t="s">
        <v>579</v>
      </c>
      <c r="C1403" s="7" t="s">
        <v>6</v>
      </c>
      <c r="D1403" s="82">
        <v>165000</v>
      </c>
      <c r="E1403" s="76">
        <f t="shared" si="9"/>
        <v>165015</v>
      </c>
    </row>
    <row r="1404" spans="2:5" ht="15" x14ac:dyDescent="0.2">
      <c r="B1404" s="7" t="s">
        <v>581</v>
      </c>
      <c r="C1404" s="7" t="s">
        <v>3</v>
      </c>
      <c r="D1404" s="82">
        <v>210000</v>
      </c>
      <c r="E1404" s="76">
        <f t="shared" si="9"/>
        <v>210015</v>
      </c>
    </row>
    <row r="1405" spans="2:5" ht="15" x14ac:dyDescent="0.2">
      <c r="B1405" s="7" t="s">
        <v>583</v>
      </c>
      <c r="C1405" s="7" t="s">
        <v>6</v>
      </c>
      <c r="D1405" s="82">
        <v>18500</v>
      </c>
      <c r="E1405" s="76">
        <f t="shared" si="9"/>
        <v>18515</v>
      </c>
    </row>
    <row r="1406" spans="2:5" ht="15" x14ac:dyDescent="0.2">
      <c r="B1406" s="7" t="s">
        <v>585</v>
      </c>
      <c r="C1406" s="7" t="s">
        <v>3</v>
      </c>
      <c r="D1406" s="82">
        <v>77000</v>
      </c>
      <c r="E1406" s="76">
        <f t="shared" si="9"/>
        <v>77015</v>
      </c>
    </row>
    <row r="1407" spans="2:5" ht="15" x14ac:dyDescent="0.2">
      <c r="B1407" s="7" t="s">
        <v>587</v>
      </c>
      <c r="C1407" s="7" t="s">
        <v>37</v>
      </c>
      <c r="D1407" s="82">
        <v>138000</v>
      </c>
      <c r="E1407" s="76">
        <f t="shared" si="9"/>
        <v>138015</v>
      </c>
    </row>
    <row r="1408" spans="2:5" ht="15" x14ac:dyDescent="0.2">
      <c r="B1408" s="7" t="s">
        <v>589</v>
      </c>
      <c r="C1408" s="7" t="s">
        <v>6</v>
      </c>
      <c r="D1408" s="82">
        <v>91000</v>
      </c>
      <c r="E1408" s="76">
        <f t="shared" si="9"/>
        <v>91015</v>
      </c>
    </row>
    <row r="1409" spans="2:5" ht="15" x14ac:dyDescent="0.2">
      <c r="B1409" s="7" t="s">
        <v>591</v>
      </c>
      <c r="C1409" s="7" t="s">
        <v>6</v>
      </c>
      <c r="D1409" s="82">
        <v>51000</v>
      </c>
      <c r="E1409" s="76">
        <f t="shared" si="9"/>
        <v>51015</v>
      </c>
    </row>
    <row r="1410" spans="2:5" ht="15" x14ac:dyDescent="0.2">
      <c r="B1410" s="7" t="s">
        <v>593</v>
      </c>
      <c r="C1410" s="7" t="s">
        <v>3</v>
      </c>
      <c r="D1410" s="82">
        <v>50000</v>
      </c>
      <c r="E1410" s="76">
        <f t="shared" si="9"/>
        <v>50015</v>
      </c>
    </row>
    <row r="1411" spans="2:5" ht="15" x14ac:dyDescent="0.2">
      <c r="B1411" s="7" t="s">
        <v>595</v>
      </c>
      <c r="C1411" s="7" t="s">
        <v>6</v>
      </c>
      <c r="D1411" s="82">
        <v>40000</v>
      </c>
      <c r="E1411" s="76">
        <f t="shared" si="9"/>
        <v>40015</v>
      </c>
    </row>
    <row r="1412" spans="2:5" ht="15" x14ac:dyDescent="0.2">
      <c r="B1412" s="7" t="s">
        <v>597</v>
      </c>
      <c r="C1412" s="7" t="s">
        <v>6</v>
      </c>
      <c r="D1412" s="82">
        <v>80000</v>
      </c>
      <c r="E1412" s="76">
        <f t="shared" si="9"/>
        <v>80015</v>
      </c>
    </row>
    <row r="1413" spans="2:5" ht="15" x14ac:dyDescent="0.2">
      <c r="B1413" s="7" t="s">
        <v>599</v>
      </c>
      <c r="C1413" s="18" t="s">
        <v>600</v>
      </c>
      <c r="D1413" s="82">
        <v>20000</v>
      </c>
      <c r="E1413" s="76">
        <f t="shared" si="9"/>
        <v>20015</v>
      </c>
    </row>
    <row r="1414" spans="2:5" ht="15" x14ac:dyDescent="0.2">
      <c r="B1414" s="7" t="s">
        <v>602</v>
      </c>
      <c r="C1414" s="7" t="s">
        <v>6</v>
      </c>
      <c r="D1414" s="82">
        <v>103000</v>
      </c>
      <c r="E1414" s="76">
        <f t="shared" si="9"/>
        <v>103015</v>
      </c>
    </row>
    <row r="1415" spans="2:5" ht="15" x14ac:dyDescent="0.2">
      <c r="B1415" s="7" t="s">
        <v>604</v>
      </c>
      <c r="C1415" s="7" t="s">
        <v>605</v>
      </c>
      <c r="D1415" s="82">
        <v>78000</v>
      </c>
      <c r="E1415" s="76">
        <f t="shared" si="9"/>
        <v>78015</v>
      </c>
    </row>
    <row r="1416" spans="2:5" ht="15" x14ac:dyDescent="0.2">
      <c r="B1416" s="7" t="s">
        <v>607</v>
      </c>
      <c r="C1416" s="7" t="s">
        <v>608</v>
      </c>
      <c r="D1416" s="82">
        <v>22000</v>
      </c>
      <c r="E1416" s="76">
        <f t="shared" si="9"/>
        <v>22015</v>
      </c>
    </row>
    <row r="1417" spans="2:5" ht="15" x14ac:dyDescent="0.2">
      <c r="B1417" s="7" t="s">
        <v>610</v>
      </c>
      <c r="C1417" s="7" t="s">
        <v>3</v>
      </c>
      <c r="D1417" s="82">
        <v>30000</v>
      </c>
      <c r="E1417" s="76">
        <f t="shared" si="9"/>
        <v>30015</v>
      </c>
    </row>
    <row r="1418" spans="2:5" ht="15" x14ac:dyDescent="0.2">
      <c r="B1418" s="7" t="s">
        <v>612</v>
      </c>
      <c r="C1418" s="7" t="s">
        <v>3</v>
      </c>
      <c r="D1418" s="82">
        <v>34500</v>
      </c>
      <c r="E1418" s="76">
        <f t="shared" si="9"/>
        <v>34515</v>
      </c>
    </row>
    <row r="1419" spans="2:5" ht="15" x14ac:dyDescent="0.2">
      <c r="B1419" s="7" t="s">
        <v>614</v>
      </c>
      <c r="C1419" s="7" t="s">
        <v>3</v>
      </c>
      <c r="D1419" s="82">
        <v>27000</v>
      </c>
      <c r="E1419" s="76">
        <f t="shared" si="9"/>
        <v>27015</v>
      </c>
    </row>
    <row r="1420" spans="2:5" ht="15" x14ac:dyDescent="0.2">
      <c r="B1420" s="7" t="s">
        <v>616</v>
      </c>
      <c r="C1420" s="7" t="s">
        <v>3</v>
      </c>
      <c r="D1420" s="82">
        <v>25000</v>
      </c>
      <c r="E1420" s="76">
        <f t="shared" si="9"/>
        <v>25015</v>
      </c>
    </row>
    <row r="1421" spans="2:5" ht="15" x14ac:dyDescent="0.2">
      <c r="B1421" s="7" t="s">
        <v>618</v>
      </c>
      <c r="C1421" s="7" t="s">
        <v>3</v>
      </c>
      <c r="D1421" s="82">
        <v>30000</v>
      </c>
      <c r="E1421" s="76">
        <f t="shared" si="9"/>
        <v>30015</v>
      </c>
    </row>
    <row r="1422" spans="2:5" ht="15" x14ac:dyDescent="0.2">
      <c r="B1422" s="7" t="s">
        <v>620</v>
      </c>
      <c r="C1422" s="7" t="s">
        <v>6</v>
      </c>
      <c r="D1422" s="82">
        <v>152000</v>
      </c>
      <c r="E1422" s="76">
        <f t="shared" si="9"/>
        <v>152015</v>
      </c>
    </row>
    <row r="1423" spans="2:5" ht="15" x14ac:dyDescent="0.2">
      <c r="B1423" s="7" t="s">
        <v>622</v>
      </c>
      <c r="C1423" s="7" t="s">
        <v>3</v>
      </c>
      <c r="D1423" s="82">
        <v>25800</v>
      </c>
      <c r="E1423" s="76">
        <f t="shared" si="9"/>
        <v>25815</v>
      </c>
    </row>
    <row r="1424" spans="2:5" ht="15" x14ac:dyDescent="0.2">
      <c r="B1424" s="7" t="s">
        <v>624</v>
      </c>
      <c r="C1424" s="7" t="s">
        <v>6</v>
      </c>
      <c r="D1424" s="82">
        <v>152000</v>
      </c>
      <c r="E1424" s="76">
        <f t="shared" si="9"/>
        <v>152015</v>
      </c>
    </row>
    <row r="1425" spans="2:5" ht="15" x14ac:dyDescent="0.2">
      <c r="B1425" s="7" t="s">
        <v>626</v>
      </c>
      <c r="C1425" s="7" t="s">
        <v>6</v>
      </c>
      <c r="D1425" s="82">
        <v>121000</v>
      </c>
      <c r="E1425" s="76">
        <f t="shared" si="9"/>
        <v>121015</v>
      </c>
    </row>
    <row r="1426" spans="2:5" ht="15" x14ac:dyDescent="0.2">
      <c r="B1426" s="7" t="s">
        <v>628</v>
      </c>
      <c r="C1426" s="7" t="s">
        <v>6</v>
      </c>
      <c r="D1426" s="82">
        <v>152000</v>
      </c>
      <c r="E1426" s="76">
        <f t="shared" si="9"/>
        <v>152015</v>
      </c>
    </row>
    <row r="1427" spans="2:5" ht="15" x14ac:dyDescent="0.2">
      <c r="B1427" s="7" t="s">
        <v>630</v>
      </c>
      <c r="C1427" s="7" t="s">
        <v>6</v>
      </c>
      <c r="D1427" s="82">
        <v>200000</v>
      </c>
      <c r="E1427" s="76">
        <f t="shared" si="9"/>
        <v>200015</v>
      </c>
    </row>
    <row r="1428" spans="2:5" ht="15" x14ac:dyDescent="0.2">
      <c r="B1428" s="7" t="s">
        <v>632</v>
      </c>
      <c r="C1428" s="7" t="s">
        <v>6</v>
      </c>
      <c r="D1428" s="82">
        <v>87000</v>
      </c>
      <c r="E1428" s="76">
        <f t="shared" si="9"/>
        <v>87015</v>
      </c>
    </row>
    <row r="1429" spans="2:5" ht="15" x14ac:dyDescent="0.2">
      <c r="B1429" s="7" t="s">
        <v>634</v>
      </c>
      <c r="C1429" s="7" t="s">
        <v>6</v>
      </c>
      <c r="D1429" s="82">
        <v>20000</v>
      </c>
      <c r="E1429" s="76">
        <f t="shared" si="9"/>
        <v>20015</v>
      </c>
    </row>
    <row r="1430" spans="2:5" ht="15" x14ac:dyDescent="0.2">
      <c r="B1430" s="7" t="s">
        <v>636</v>
      </c>
      <c r="C1430" s="7" t="s">
        <v>6</v>
      </c>
      <c r="D1430" s="82">
        <v>35000</v>
      </c>
      <c r="E1430" s="76">
        <f t="shared" si="9"/>
        <v>35015</v>
      </c>
    </row>
    <row r="1431" spans="2:5" ht="15" x14ac:dyDescent="0.2">
      <c r="B1431" s="7" t="s">
        <v>638</v>
      </c>
      <c r="C1431" s="7" t="s">
        <v>6</v>
      </c>
      <c r="D1431" s="82">
        <v>37000</v>
      </c>
      <c r="E1431" s="76">
        <f t="shared" si="9"/>
        <v>37015</v>
      </c>
    </row>
    <row r="1432" spans="2:5" ht="15" x14ac:dyDescent="0.2">
      <c r="B1432" s="7" t="s">
        <v>640</v>
      </c>
      <c r="C1432" s="7" t="s">
        <v>3</v>
      </c>
      <c r="D1432" s="82">
        <v>43000</v>
      </c>
      <c r="E1432" s="76">
        <f t="shared" si="9"/>
        <v>43015</v>
      </c>
    </row>
    <row r="1433" spans="2:5" ht="15" x14ac:dyDescent="0.2">
      <c r="B1433" s="7" t="s">
        <v>642</v>
      </c>
      <c r="C1433" s="7" t="s">
        <v>323</v>
      </c>
      <c r="D1433" s="83">
        <v>10500</v>
      </c>
      <c r="E1433" s="76">
        <f t="shared" si="9"/>
        <v>10515</v>
      </c>
    </row>
    <row r="1434" spans="2:5" ht="15" x14ac:dyDescent="0.2">
      <c r="B1434" s="7"/>
      <c r="C1434" s="7"/>
      <c r="D1434" s="83"/>
      <c r="E1434" s="76"/>
    </row>
    <row r="1435" spans="2:5" ht="15" x14ac:dyDescent="0.2">
      <c r="B1435" s="7"/>
      <c r="C1435" s="7"/>
      <c r="D1435" s="83"/>
      <c r="E1435" s="76"/>
    </row>
    <row r="1436" spans="2:5" ht="15" x14ac:dyDescent="0.2">
      <c r="B1436" s="7"/>
      <c r="C1436" s="7"/>
      <c r="D1436" s="83"/>
      <c r="E1436" s="76"/>
    </row>
    <row r="1437" spans="2:5" ht="15" x14ac:dyDescent="0.2">
      <c r="B1437" s="7"/>
      <c r="C1437" s="7"/>
      <c r="D1437" s="83"/>
      <c r="E1437" s="76"/>
    </row>
    <row r="1438" spans="2:5" ht="15" x14ac:dyDescent="0.2">
      <c r="B1438" s="7"/>
      <c r="C1438" s="7"/>
      <c r="D1438" s="83"/>
      <c r="E1438" s="76"/>
    </row>
    <row r="1439" spans="2:5" ht="15" x14ac:dyDescent="0.2">
      <c r="B1439" s="7"/>
      <c r="C1439" s="7"/>
      <c r="D1439" s="83"/>
      <c r="E1439" s="76"/>
    </row>
    <row r="1440" spans="2:5" ht="15" x14ac:dyDescent="0.2">
      <c r="B1440" s="7"/>
      <c r="C1440" s="7"/>
      <c r="D1440" s="83"/>
      <c r="E1440" s="76"/>
    </row>
    <row r="1441" spans="2:5" ht="15" x14ac:dyDescent="0.2">
      <c r="B1441" s="7"/>
      <c r="C1441" s="7"/>
      <c r="D1441" s="83"/>
      <c r="E1441" s="76"/>
    </row>
    <row r="1442" spans="2:5" ht="15" x14ac:dyDescent="0.2">
      <c r="B1442" s="7"/>
      <c r="C1442" s="7"/>
      <c r="D1442" s="83"/>
      <c r="E1442" s="76"/>
    </row>
    <row r="1443" spans="2:5" ht="15" x14ac:dyDescent="0.2">
      <c r="B1443" s="7"/>
      <c r="C1443" s="7"/>
      <c r="D1443" s="83"/>
      <c r="E1443" s="76"/>
    </row>
    <row r="1444" spans="2:5" ht="15" x14ac:dyDescent="0.2">
      <c r="B1444" s="7"/>
      <c r="C1444" s="7"/>
      <c r="D1444" s="83"/>
      <c r="E1444" s="76"/>
    </row>
    <row r="1445" spans="2:5" ht="15" x14ac:dyDescent="0.2">
      <c r="B1445" s="7"/>
      <c r="C1445" s="7"/>
      <c r="D1445" s="83"/>
      <c r="E1445" s="76"/>
    </row>
    <row r="1446" spans="2:5" ht="15" x14ac:dyDescent="0.2">
      <c r="B1446" s="7"/>
      <c r="C1446" s="7"/>
      <c r="D1446" s="83"/>
      <c r="E1446" s="76"/>
    </row>
    <row r="1447" spans="2:5" ht="15" x14ac:dyDescent="0.2">
      <c r="B1447" s="7"/>
      <c r="C1447" s="7"/>
      <c r="D1447" s="83"/>
      <c r="E1447" s="76"/>
    </row>
    <row r="1448" spans="2:5" ht="15" x14ac:dyDescent="0.2">
      <c r="B1448" s="7"/>
      <c r="C1448" s="7"/>
      <c r="D1448" s="83"/>
      <c r="E1448" s="76"/>
    </row>
    <row r="1449" spans="2:5" ht="15" x14ac:dyDescent="0.2">
      <c r="B1449" s="7"/>
      <c r="C1449" s="7"/>
      <c r="D1449" s="83"/>
      <c r="E1449" s="76"/>
    </row>
    <row r="1450" spans="2:5" ht="15" x14ac:dyDescent="0.2">
      <c r="B1450" s="7"/>
      <c r="C1450" s="7"/>
      <c r="D1450" s="83"/>
      <c r="E1450" s="76"/>
    </row>
    <row r="1451" spans="2:5" ht="15" x14ac:dyDescent="0.2">
      <c r="B1451" s="7"/>
      <c r="C1451" s="7"/>
      <c r="D1451" s="83"/>
      <c r="E1451" s="76"/>
    </row>
    <row r="1452" spans="2:5" ht="15" x14ac:dyDescent="0.2">
      <c r="B1452" s="7"/>
      <c r="C1452" s="7"/>
      <c r="D1452" s="83"/>
      <c r="E1452" s="76"/>
    </row>
    <row r="1453" spans="2:5" ht="15" x14ac:dyDescent="0.2">
      <c r="B1453" s="7"/>
      <c r="C1453" s="7"/>
      <c r="D1453" s="83"/>
      <c r="E1453" s="76"/>
    </row>
    <row r="1454" spans="2:5" ht="15" x14ac:dyDescent="0.2">
      <c r="B1454" s="7"/>
      <c r="C1454" s="7"/>
      <c r="D1454" s="83"/>
      <c r="E1454" s="76"/>
    </row>
    <row r="1455" spans="2:5" ht="15" x14ac:dyDescent="0.2">
      <c r="B1455" s="7"/>
      <c r="C1455" s="7"/>
      <c r="D1455" s="83"/>
      <c r="E1455" s="76"/>
    </row>
    <row r="1456" spans="2:5" ht="15" x14ac:dyDescent="0.2">
      <c r="B1456" s="7"/>
      <c r="C1456" s="7"/>
      <c r="D1456" s="83"/>
      <c r="E1456" s="76"/>
    </row>
    <row r="1457" spans="2:5" ht="15" x14ac:dyDescent="0.2">
      <c r="B1457" s="7"/>
      <c r="C1457" s="7"/>
      <c r="D1457" s="83"/>
      <c r="E1457" s="76"/>
    </row>
    <row r="1458" spans="2:5" ht="15" x14ac:dyDescent="0.2">
      <c r="B1458" s="7"/>
      <c r="C1458" s="7"/>
      <c r="D1458" s="83"/>
      <c r="E1458" s="76"/>
    </row>
    <row r="1459" spans="2:5" ht="15" x14ac:dyDescent="0.2">
      <c r="B1459" s="7"/>
      <c r="C1459" s="7"/>
      <c r="D1459" s="83"/>
      <c r="E1459" s="76"/>
    </row>
    <row r="1460" spans="2:5" ht="15" x14ac:dyDescent="0.2">
      <c r="B1460" s="7"/>
      <c r="C1460" s="7"/>
      <c r="D1460" s="83"/>
      <c r="E1460" s="76"/>
    </row>
    <row r="1461" spans="2:5" ht="15" x14ac:dyDescent="0.2">
      <c r="B1461" s="7"/>
      <c r="C1461" s="7"/>
      <c r="D1461" s="83"/>
      <c r="E1461" s="76"/>
    </row>
    <row r="1462" spans="2:5" ht="15" x14ac:dyDescent="0.2">
      <c r="B1462" s="7"/>
      <c r="C1462" s="7"/>
      <c r="D1462" s="83"/>
      <c r="E1462" s="76"/>
    </row>
    <row r="1463" spans="2:5" ht="15" x14ac:dyDescent="0.2">
      <c r="B1463" s="7"/>
      <c r="C1463" s="7"/>
      <c r="D1463" s="83"/>
      <c r="E1463" s="76"/>
    </row>
    <row r="1464" spans="2:5" ht="15" x14ac:dyDescent="0.2">
      <c r="B1464" s="7"/>
      <c r="C1464" s="7"/>
      <c r="D1464" s="83"/>
      <c r="E1464" s="76"/>
    </row>
    <row r="1465" spans="2:5" ht="15" x14ac:dyDescent="0.2">
      <c r="B1465" s="7"/>
      <c r="C1465" s="7"/>
      <c r="D1465" s="83"/>
      <c r="E1465" s="76"/>
    </row>
    <row r="1466" spans="2:5" ht="15" x14ac:dyDescent="0.2">
      <c r="B1466" s="7"/>
      <c r="C1466" s="7"/>
      <c r="D1466" s="83"/>
      <c r="E1466" s="76"/>
    </row>
    <row r="1467" spans="2:5" ht="15" x14ac:dyDescent="0.2">
      <c r="B1467" s="7"/>
      <c r="C1467" s="7"/>
      <c r="D1467" s="83"/>
      <c r="E1467" s="76"/>
    </row>
    <row r="1468" spans="2:5" ht="15" x14ac:dyDescent="0.2">
      <c r="B1468" s="7"/>
      <c r="C1468" s="7"/>
      <c r="D1468" s="83"/>
      <c r="E1468" s="76"/>
    </row>
    <row r="1469" spans="2:5" ht="15" x14ac:dyDescent="0.2">
      <c r="B1469" s="7"/>
      <c r="C1469" s="7"/>
      <c r="D1469" s="83"/>
      <c r="E1469" s="76"/>
    </row>
    <row r="1470" spans="2:5" ht="15" x14ac:dyDescent="0.2">
      <c r="B1470" s="7"/>
      <c r="C1470" s="7"/>
      <c r="D1470" s="83"/>
      <c r="E1470" s="76"/>
    </row>
    <row r="1471" spans="2:5" ht="15" x14ac:dyDescent="0.2">
      <c r="B1471" s="7"/>
      <c r="C1471" s="7"/>
      <c r="D1471" s="83"/>
      <c r="E1471" s="76"/>
    </row>
    <row r="1472" spans="2:5" ht="15" x14ac:dyDescent="0.2">
      <c r="B1472" s="7"/>
      <c r="C1472" s="7"/>
      <c r="D1472" s="83"/>
      <c r="E1472" s="76"/>
    </row>
    <row r="1473" spans="2:5" ht="15" x14ac:dyDescent="0.2">
      <c r="B1473" s="7"/>
      <c r="C1473" s="7"/>
      <c r="D1473" s="83"/>
      <c r="E1473" s="76"/>
    </row>
    <row r="1474" spans="2:5" ht="15" x14ac:dyDescent="0.2">
      <c r="B1474" s="7"/>
      <c r="C1474" s="7"/>
      <c r="D1474" s="83"/>
      <c r="E1474" s="76"/>
    </row>
    <row r="1475" spans="2:5" ht="15" x14ac:dyDescent="0.2">
      <c r="B1475" s="7"/>
      <c r="C1475" s="7"/>
      <c r="D1475" s="83"/>
      <c r="E1475" s="76"/>
    </row>
    <row r="1476" spans="2:5" ht="15" x14ac:dyDescent="0.2">
      <c r="B1476" s="7"/>
      <c r="C1476" s="7"/>
      <c r="D1476" s="83"/>
      <c r="E1476" s="76"/>
    </row>
    <row r="1477" spans="2:5" ht="15" x14ac:dyDescent="0.2">
      <c r="B1477" s="7"/>
      <c r="C1477" s="7"/>
      <c r="D1477" s="83"/>
      <c r="E1477" s="76"/>
    </row>
    <row r="1478" spans="2:5" ht="15" x14ac:dyDescent="0.2">
      <c r="B1478" s="7"/>
      <c r="C1478" s="7"/>
      <c r="D1478" s="83"/>
      <c r="E1478" s="76"/>
    </row>
    <row r="1479" spans="2:5" ht="15" x14ac:dyDescent="0.2">
      <c r="B1479" s="7"/>
      <c r="C1479" s="7"/>
      <c r="D1479" s="83"/>
      <c r="E1479" s="76"/>
    </row>
    <row r="1480" spans="2:5" ht="15" x14ac:dyDescent="0.2">
      <c r="B1480" s="7"/>
      <c r="C1480" s="7"/>
      <c r="D1480" s="83"/>
      <c r="E1480" s="76"/>
    </row>
    <row r="1481" spans="2:5" ht="15" x14ac:dyDescent="0.2">
      <c r="B1481" s="7"/>
      <c r="C1481" s="7"/>
      <c r="D1481" s="83"/>
      <c r="E1481" s="76"/>
    </row>
    <row r="1482" spans="2:5" ht="15" x14ac:dyDescent="0.2">
      <c r="B1482" s="7"/>
      <c r="C1482" s="7"/>
      <c r="D1482" s="83"/>
      <c r="E1482" s="76"/>
    </row>
    <row r="1483" spans="2:5" ht="15" x14ac:dyDescent="0.2">
      <c r="B1483" s="7"/>
      <c r="C1483" s="7"/>
      <c r="D1483" s="83"/>
      <c r="E1483" s="76"/>
    </row>
    <row r="1484" spans="2:5" ht="15" x14ac:dyDescent="0.2">
      <c r="B1484" s="7"/>
      <c r="C1484" s="7"/>
      <c r="D1484" s="83"/>
      <c r="E1484" s="76"/>
    </row>
    <row r="1485" spans="2:5" ht="15" x14ac:dyDescent="0.2">
      <c r="B1485" s="7"/>
      <c r="C1485" s="7"/>
      <c r="D1485" s="83"/>
      <c r="E1485" s="76"/>
    </row>
    <row r="1486" spans="2:5" ht="15" x14ac:dyDescent="0.2">
      <c r="B1486" s="7"/>
      <c r="C1486" s="7"/>
      <c r="D1486" s="83"/>
      <c r="E1486" s="76"/>
    </row>
    <row r="1487" spans="2:5" ht="15" x14ac:dyDescent="0.2">
      <c r="B1487" s="7"/>
      <c r="C1487" s="7"/>
      <c r="D1487" s="83"/>
      <c r="E1487" s="76"/>
    </row>
    <row r="1488" spans="2:5" ht="15" x14ac:dyDescent="0.2">
      <c r="B1488" s="7"/>
      <c r="C1488" s="7"/>
      <c r="D1488" s="83"/>
      <c r="E1488" s="76"/>
    </row>
    <row r="1489" spans="2:5" ht="15" x14ac:dyDescent="0.2">
      <c r="B1489" s="7"/>
      <c r="C1489" s="7"/>
      <c r="D1489" s="83"/>
      <c r="E1489" s="76"/>
    </row>
    <row r="1490" spans="2:5" ht="15" x14ac:dyDescent="0.2">
      <c r="B1490" s="7"/>
      <c r="C1490" s="7"/>
      <c r="D1490" s="83"/>
      <c r="E1490" s="76"/>
    </row>
    <row r="1491" spans="2:5" ht="15" x14ac:dyDescent="0.2">
      <c r="B1491" s="7"/>
      <c r="C1491" s="7"/>
      <c r="D1491" s="83"/>
      <c r="E1491" s="76"/>
    </row>
    <row r="1492" spans="2:5" ht="15" x14ac:dyDescent="0.2">
      <c r="B1492" s="7"/>
      <c r="C1492" s="7"/>
      <c r="D1492" s="83"/>
      <c r="E1492" s="76"/>
    </row>
    <row r="1493" spans="2:5" ht="15" x14ac:dyDescent="0.2">
      <c r="B1493" s="7"/>
      <c r="C1493" s="7"/>
      <c r="D1493" s="83"/>
      <c r="E1493" s="76"/>
    </row>
    <row r="1494" spans="2:5" ht="15" x14ac:dyDescent="0.2">
      <c r="B1494" s="7"/>
      <c r="C1494" s="7"/>
      <c r="D1494" s="83"/>
      <c r="E1494" s="76"/>
    </row>
    <row r="1495" spans="2:5" ht="15" x14ac:dyDescent="0.2">
      <c r="B1495" s="7"/>
      <c r="C1495" s="7"/>
      <c r="D1495" s="83"/>
      <c r="E1495" s="76"/>
    </row>
    <row r="1496" spans="2:5" ht="15" x14ac:dyDescent="0.2">
      <c r="B1496" s="7"/>
      <c r="C1496" s="7"/>
      <c r="D1496" s="83"/>
      <c r="E1496" s="76"/>
    </row>
    <row r="1497" spans="2:5" ht="15" x14ac:dyDescent="0.2">
      <c r="B1497" s="7"/>
      <c r="C1497" s="7"/>
      <c r="D1497" s="83"/>
      <c r="E1497" s="76"/>
    </row>
    <row r="1498" spans="2:5" ht="15" x14ac:dyDescent="0.2">
      <c r="B1498" s="7"/>
      <c r="C1498" s="7"/>
      <c r="D1498" s="83"/>
      <c r="E1498" s="76"/>
    </row>
    <row r="1499" spans="2:5" ht="15" x14ac:dyDescent="0.2">
      <c r="B1499" s="7"/>
      <c r="C1499" s="7"/>
      <c r="D1499" s="83"/>
      <c r="E1499" s="76"/>
    </row>
    <row r="1500" spans="2:5" ht="15" x14ac:dyDescent="0.2">
      <c r="B1500" s="7"/>
      <c r="C1500" s="7"/>
      <c r="D1500" s="83"/>
      <c r="E1500" s="76"/>
    </row>
    <row r="1501" spans="2:5" ht="15" x14ac:dyDescent="0.2">
      <c r="B1501" s="7"/>
      <c r="C1501" s="7"/>
      <c r="D1501" s="83"/>
      <c r="E1501" s="76"/>
    </row>
    <row r="1502" spans="2:5" ht="15" x14ac:dyDescent="0.2">
      <c r="B1502" s="7"/>
      <c r="C1502" s="7"/>
      <c r="D1502" s="83"/>
      <c r="E1502" s="76"/>
    </row>
    <row r="1503" spans="2:5" ht="15" x14ac:dyDescent="0.2">
      <c r="B1503" s="7"/>
      <c r="C1503" s="7"/>
      <c r="D1503" s="83"/>
      <c r="E1503" s="76"/>
    </row>
    <row r="1504" spans="2:5" ht="15" x14ac:dyDescent="0.2">
      <c r="B1504" s="7"/>
      <c r="C1504" s="7"/>
      <c r="D1504" s="83"/>
      <c r="E1504" s="76"/>
    </row>
    <row r="1505" spans="2:5" ht="15" x14ac:dyDescent="0.2">
      <c r="B1505" s="7"/>
      <c r="C1505" s="7"/>
      <c r="D1505" s="83"/>
      <c r="E1505" s="76"/>
    </row>
    <row r="1506" spans="2:5" ht="15" x14ac:dyDescent="0.2">
      <c r="B1506" s="7"/>
      <c r="C1506" s="7"/>
      <c r="D1506" s="83"/>
      <c r="E1506" s="76"/>
    </row>
    <row r="1507" spans="2:5" ht="15" x14ac:dyDescent="0.2">
      <c r="B1507" s="7"/>
      <c r="C1507" s="7"/>
      <c r="D1507" s="83"/>
      <c r="E1507" s="76"/>
    </row>
    <row r="1508" spans="2:5" ht="15" x14ac:dyDescent="0.2">
      <c r="B1508" s="7"/>
      <c r="C1508" s="7"/>
      <c r="D1508" s="83"/>
      <c r="E1508" s="76"/>
    </row>
    <row r="1509" spans="2:5" ht="15" x14ac:dyDescent="0.2">
      <c r="B1509" s="7"/>
      <c r="C1509" s="7"/>
      <c r="D1509" s="83"/>
      <c r="E1509" s="76"/>
    </row>
    <row r="1510" spans="2:5" ht="15" x14ac:dyDescent="0.2">
      <c r="B1510" s="7"/>
      <c r="C1510" s="7"/>
      <c r="D1510" s="83"/>
      <c r="E1510" s="76"/>
    </row>
    <row r="1511" spans="2:5" ht="15" x14ac:dyDescent="0.2">
      <c r="B1511" s="7"/>
      <c r="C1511" s="7"/>
      <c r="D1511" s="83"/>
      <c r="E1511" s="76"/>
    </row>
    <row r="1512" spans="2:5" ht="15" x14ac:dyDescent="0.2">
      <c r="B1512" s="7"/>
      <c r="C1512" s="7"/>
      <c r="D1512" s="83"/>
      <c r="E1512" s="76"/>
    </row>
    <row r="1513" spans="2:5" ht="15" x14ac:dyDescent="0.2">
      <c r="B1513" s="7"/>
      <c r="C1513" s="7"/>
      <c r="D1513" s="83"/>
      <c r="E1513" s="76"/>
    </row>
    <row r="1514" spans="2:5" ht="15" x14ac:dyDescent="0.2">
      <c r="B1514" s="7"/>
      <c r="C1514" s="7"/>
      <c r="D1514" s="83"/>
      <c r="E1514" s="76"/>
    </row>
    <row r="1515" spans="2:5" ht="15" x14ac:dyDescent="0.2">
      <c r="B1515" s="7"/>
      <c r="C1515" s="7"/>
      <c r="D1515" s="83"/>
      <c r="E1515" s="76"/>
    </row>
    <row r="1516" spans="2:5" ht="15" x14ac:dyDescent="0.2">
      <c r="B1516" s="7"/>
      <c r="C1516" s="7"/>
      <c r="D1516" s="83"/>
      <c r="E1516" s="76"/>
    </row>
    <row r="1517" spans="2:5" ht="15" x14ac:dyDescent="0.2">
      <c r="B1517" s="7"/>
      <c r="C1517" s="7"/>
      <c r="D1517" s="83"/>
      <c r="E1517" s="76"/>
    </row>
    <row r="1518" spans="2:5" ht="15" x14ac:dyDescent="0.2">
      <c r="B1518" s="7"/>
      <c r="C1518" s="7"/>
      <c r="D1518" s="83"/>
      <c r="E1518" s="76"/>
    </row>
    <row r="1519" spans="2:5" ht="15" x14ac:dyDescent="0.2">
      <c r="B1519" s="7"/>
      <c r="C1519" s="7"/>
      <c r="D1519" s="83"/>
      <c r="E1519" s="76"/>
    </row>
    <row r="1520" spans="2:5" ht="15" x14ac:dyDescent="0.2">
      <c r="B1520" s="7"/>
      <c r="C1520" s="7"/>
      <c r="D1520" s="83"/>
      <c r="E1520" s="76"/>
    </row>
    <row r="1521" spans="1:5" ht="15" x14ac:dyDescent="0.2">
      <c r="B1521" s="7"/>
      <c r="C1521" s="7"/>
      <c r="D1521" s="83"/>
      <c r="E1521" s="76"/>
    </row>
    <row r="1522" spans="1:5" ht="15" x14ac:dyDescent="0.2">
      <c r="B1522" s="7"/>
      <c r="C1522" s="7"/>
      <c r="D1522" s="83"/>
      <c r="E1522" s="76"/>
    </row>
    <row r="1523" spans="1:5" ht="15" x14ac:dyDescent="0.2">
      <c r="B1523" s="7"/>
      <c r="C1523" s="7"/>
      <c r="D1523" s="83"/>
      <c r="E1523" s="76"/>
    </row>
    <row r="1524" spans="1:5" ht="15" x14ac:dyDescent="0.2">
      <c r="B1524" s="7"/>
      <c r="C1524" s="7"/>
      <c r="D1524" s="83"/>
      <c r="E1524" s="76"/>
    </row>
    <row r="1525" spans="1:5" ht="15" x14ac:dyDescent="0.2">
      <c r="B1525" s="7"/>
      <c r="C1525" s="7"/>
      <c r="D1525" s="83"/>
      <c r="E1525" s="76"/>
    </row>
    <row r="1526" spans="1:5" ht="15" x14ac:dyDescent="0.2">
      <c r="B1526" s="7"/>
      <c r="C1526" s="7"/>
      <c r="D1526" s="83"/>
      <c r="E1526" s="76"/>
    </row>
    <row r="1527" spans="1:5" ht="15" x14ac:dyDescent="0.2">
      <c r="B1527" s="7"/>
      <c r="C1527" s="7"/>
      <c r="D1527" s="83"/>
      <c r="E1527" s="76"/>
    </row>
    <row r="1528" spans="1:5" ht="15" x14ac:dyDescent="0.2">
      <c r="B1528" s="7"/>
      <c r="C1528" s="7"/>
      <c r="D1528" s="83"/>
      <c r="E1528" s="76"/>
    </row>
    <row r="1529" spans="1:5" ht="15" x14ac:dyDescent="0.2">
      <c r="B1529" s="7"/>
      <c r="C1529" s="7"/>
      <c r="D1529" s="83"/>
      <c r="E1529" s="76"/>
    </row>
    <row r="1530" spans="1:5" ht="15" x14ac:dyDescent="0.2">
      <c r="B1530" s="7"/>
      <c r="C1530" s="7"/>
      <c r="D1530" s="83"/>
      <c r="E1530" s="76"/>
    </row>
    <row r="1531" spans="1:5" ht="15" x14ac:dyDescent="0.2">
      <c r="B1531" s="7"/>
      <c r="C1531" s="7"/>
      <c r="D1531" s="83"/>
      <c r="E1531" s="76"/>
    </row>
    <row r="1532" spans="1:5" ht="15" x14ac:dyDescent="0.2">
      <c r="B1532" s="7"/>
      <c r="C1532" s="7"/>
      <c r="D1532" s="83"/>
      <c r="E1532" s="76"/>
    </row>
    <row r="1533" spans="1:5" ht="15" x14ac:dyDescent="0.2">
      <c r="B1533" s="7"/>
      <c r="C1533" s="7"/>
      <c r="D1533" s="83"/>
      <c r="E1533" s="76"/>
    </row>
    <row r="1534" spans="1:5" ht="15" x14ac:dyDescent="0.2">
      <c r="B1534" s="7"/>
      <c r="C1534" s="7"/>
      <c r="D1534" s="83"/>
      <c r="E1534" s="76"/>
    </row>
    <row r="1535" spans="1:5" ht="15" x14ac:dyDescent="0.2">
      <c r="A1535" s="53" t="s">
        <v>2435</v>
      </c>
      <c r="B1535" s="7" t="s">
        <v>643</v>
      </c>
      <c r="C1535" s="7" t="s">
        <v>6</v>
      </c>
      <c r="D1535" s="80">
        <v>40000</v>
      </c>
      <c r="E1535" s="76">
        <f t="shared" si="9"/>
        <v>40015</v>
      </c>
    </row>
    <row r="1536" spans="1:5" ht="15" x14ac:dyDescent="0.2">
      <c r="B1536" s="7" t="s">
        <v>645</v>
      </c>
      <c r="C1536" s="7" t="s">
        <v>6</v>
      </c>
      <c r="D1536" s="80">
        <v>42000</v>
      </c>
      <c r="E1536" s="76">
        <f t="shared" si="9"/>
        <v>42015</v>
      </c>
    </row>
    <row r="1537" spans="2:5" ht="15" x14ac:dyDescent="0.2">
      <c r="B1537" s="7" t="s">
        <v>647</v>
      </c>
      <c r="C1537" s="7" t="s">
        <v>6</v>
      </c>
      <c r="D1537" s="80">
        <v>53000</v>
      </c>
      <c r="E1537" s="76">
        <f t="shared" si="9"/>
        <v>53015</v>
      </c>
    </row>
    <row r="1538" spans="2:5" ht="15" x14ac:dyDescent="0.2">
      <c r="B1538" s="7" t="s">
        <v>649</v>
      </c>
      <c r="C1538" s="7" t="s">
        <v>6</v>
      </c>
      <c r="D1538" s="80">
        <v>62000</v>
      </c>
      <c r="E1538" s="76">
        <f t="shared" si="9"/>
        <v>62015</v>
      </c>
    </row>
    <row r="1539" spans="2:5" ht="15" x14ac:dyDescent="0.2">
      <c r="B1539" s="7" t="s">
        <v>651</v>
      </c>
      <c r="C1539" s="7" t="s">
        <v>6</v>
      </c>
      <c r="D1539" s="80">
        <v>190000</v>
      </c>
      <c r="E1539" s="76">
        <f t="shared" si="9"/>
        <v>190015</v>
      </c>
    </row>
    <row r="1540" spans="2:5" ht="15" x14ac:dyDescent="0.2">
      <c r="B1540" s="7" t="s">
        <v>653</v>
      </c>
      <c r="C1540" s="7" t="s">
        <v>6</v>
      </c>
      <c r="D1540" s="80">
        <v>212000</v>
      </c>
      <c r="E1540" s="76">
        <f t="shared" si="9"/>
        <v>212015</v>
      </c>
    </row>
    <row r="1541" spans="2:5" ht="15" x14ac:dyDescent="0.2">
      <c r="B1541" s="7" t="s">
        <v>655</v>
      </c>
      <c r="C1541" s="7" t="s">
        <v>6</v>
      </c>
      <c r="D1541" s="80">
        <v>18000</v>
      </c>
      <c r="E1541" s="76">
        <f t="shared" si="9"/>
        <v>18015</v>
      </c>
    </row>
    <row r="1542" spans="2:5" ht="15" x14ac:dyDescent="0.2">
      <c r="B1542" s="7" t="s">
        <v>657</v>
      </c>
      <c r="C1542" s="7" t="s">
        <v>3</v>
      </c>
      <c r="D1542" s="80">
        <v>61000</v>
      </c>
      <c r="E1542" s="76">
        <f t="shared" si="9"/>
        <v>61015</v>
      </c>
    </row>
    <row r="1543" spans="2:5" ht="15" x14ac:dyDescent="0.2">
      <c r="B1543" s="7" t="s">
        <v>659</v>
      </c>
      <c r="C1543" s="7" t="s">
        <v>3</v>
      </c>
      <c r="D1543" s="80">
        <v>50000</v>
      </c>
      <c r="E1543" s="76">
        <f t="shared" si="9"/>
        <v>50015</v>
      </c>
    </row>
    <row r="1544" spans="2:5" ht="15" x14ac:dyDescent="0.2">
      <c r="B1544" s="7" t="s">
        <v>661</v>
      </c>
      <c r="C1544" s="7" t="s">
        <v>6</v>
      </c>
      <c r="D1544" s="80">
        <v>186000</v>
      </c>
      <c r="E1544" s="76">
        <f t="shared" ref="E1544:E1707" si="10">D1544+15</f>
        <v>186015</v>
      </c>
    </row>
    <row r="1545" spans="2:5" ht="15" x14ac:dyDescent="0.2">
      <c r="B1545" s="7" t="s">
        <v>663</v>
      </c>
      <c r="C1545" s="7" t="s">
        <v>6</v>
      </c>
      <c r="D1545" s="80">
        <v>190000</v>
      </c>
      <c r="E1545" s="76">
        <f t="shared" si="10"/>
        <v>190015</v>
      </c>
    </row>
    <row r="1546" spans="2:5" ht="15" x14ac:dyDescent="0.2">
      <c r="B1546" s="7" t="s">
        <v>665</v>
      </c>
      <c r="C1546" s="7" t="s">
        <v>6</v>
      </c>
      <c r="D1546" s="80">
        <v>195000</v>
      </c>
      <c r="E1546" s="76">
        <f t="shared" si="10"/>
        <v>195015</v>
      </c>
    </row>
    <row r="1547" spans="2:5" ht="15" x14ac:dyDescent="0.2">
      <c r="B1547" s="7" t="s">
        <v>667</v>
      </c>
      <c r="C1547" s="7" t="s">
        <v>6</v>
      </c>
      <c r="D1547" s="80">
        <v>4700</v>
      </c>
      <c r="E1547" s="76">
        <f t="shared" si="10"/>
        <v>4715</v>
      </c>
    </row>
    <row r="1548" spans="2:5" ht="15" x14ac:dyDescent="0.2">
      <c r="B1548" s="7" t="s">
        <v>669</v>
      </c>
      <c r="C1548" s="7" t="s">
        <v>3</v>
      </c>
      <c r="D1548" s="80">
        <v>45000</v>
      </c>
      <c r="E1548" s="76">
        <f t="shared" si="10"/>
        <v>45015</v>
      </c>
    </row>
    <row r="1549" spans="2:5" ht="15" x14ac:dyDescent="0.2">
      <c r="B1549" s="7" t="s">
        <v>671</v>
      </c>
      <c r="C1549" s="7" t="s">
        <v>6</v>
      </c>
      <c r="D1549" s="80">
        <v>190000</v>
      </c>
      <c r="E1549" s="76">
        <f t="shared" si="10"/>
        <v>190015</v>
      </c>
    </row>
    <row r="1550" spans="2:5" ht="15" x14ac:dyDescent="0.2">
      <c r="B1550" s="7" t="s">
        <v>673</v>
      </c>
      <c r="C1550" s="7" t="s">
        <v>3</v>
      </c>
      <c r="D1550" s="80">
        <v>20000</v>
      </c>
      <c r="E1550" s="76">
        <f t="shared" si="10"/>
        <v>20015</v>
      </c>
    </row>
    <row r="1551" spans="2:5" ht="15" x14ac:dyDescent="0.2">
      <c r="B1551" s="7"/>
      <c r="C1551" s="7"/>
      <c r="D1551" s="80"/>
      <c r="E1551" s="76"/>
    </row>
    <row r="1552" spans="2:5" ht="15" x14ac:dyDescent="0.2">
      <c r="B1552" s="7"/>
      <c r="C1552" s="7"/>
      <c r="D1552" s="80"/>
      <c r="E1552" s="76"/>
    </row>
    <row r="1553" spans="2:5" ht="15" x14ac:dyDescent="0.2">
      <c r="B1553" s="7"/>
      <c r="C1553" s="7"/>
      <c r="D1553" s="80"/>
      <c r="E1553" s="76"/>
    </row>
    <row r="1554" spans="2:5" ht="15" x14ac:dyDescent="0.2">
      <c r="B1554" s="7"/>
      <c r="C1554" s="7"/>
      <c r="D1554" s="80"/>
      <c r="E1554" s="76"/>
    </row>
    <row r="1555" spans="2:5" ht="15" x14ac:dyDescent="0.2">
      <c r="B1555" s="7"/>
      <c r="C1555" s="7"/>
      <c r="D1555" s="80"/>
      <c r="E1555" s="76"/>
    </row>
    <row r="1556" spans="2:5" ht="15" x14ac:dyDescent="0.2">
      <c r="B1556" s="7"/>
      <c r="C1556" s="7"/>
      <c r="D1556" s="80"/>
      <c r="E1556" s="76"/>
    </row>
    <row r="1557" spans="2:5" ht="15" x14ac:dyDescent="0.2">
      <c r="B1557" s="7"/>
      <c r="C1557" s="7"/>
      <c r="D1557" s="80"/>
      <c r="E1557" s="76"/>
    </row>
    <row r="1558" spans="2:5" ht="15" x14ac:dyDescent="0.2">
      <c r="B1558" s="7"/>
      <c r="C1558" s="7"/>
      <c r="D1558" s="80"/>
      <c r="E1558" s="76"/>
    </row>
    <row r="1559" spans="2:5" ht="15" x14ac:dyDescent="0.2">
      <c r="B1559" s="7"/>
      <c r="C1559" s="7"/>
      <c r="D1559" s="80"/>
      <c r="E1559" s="76"/>
    </row>
    <row r="1560" spans="2:5" ht="15" x14ac:dyDescent="0.2">
      <c r="B1560" s="7"/>
      <c r="C1560" s="7"/>
      <c r="D1560" s="80"/>
      <c r="E1560" s="76"/>
    </row>
    <row r="1561" spans="2:5" ht="15" x14ac:dyDescent="0.2">
      <c r="B1561" s="7"/>
      <c r="C1561" s="7"/>
      <c r="D1561" s="80"/>
      <c r="E1561" s="76"/>
    </row>
    <row r="1562" spans="2:5" ht="15" x14ac:dyDescent="0.2">
      <c r="B1562" s="7"/>
      <c r="C1562" s="7"/>
      <c r="D1562" s="80"/>
      <c r="E1562" s="76"/>
    </row>
    <row r="1563" spans="2:5" ht="15" x14ac:dyDescent="0.2">
      <c r="B1563" s="7"/>
      <c r="C1563" s="7"/>
      <c r="D1563" s="80"/>
      <c r="E1563" s="76"/>
    </row>
    <row r="1564" spans="2:5" ht="15" x14ac:dyDescent="0.2">
      <c r="B1564" s="7"/>
      <c r="C1564" s="7"/>
      <c r="D1564" s="80"/>
      <c r="E1564" s="76"/>
    </row>
    <row r="1565" spans="2:5" ht="15" x14ac:dyDescent="0.2">
      <c r="B1565" s="7"/>
      <c r="C1565" s="7"/>
      <c r="D1565" s="80"/>
      <c r="E1565" s="76"/>
    </row>
    <row r="1566" spans="2:5" ht="15" x14ac:dyDescent="0.2">
      <c r="B1566" s="7"/>
      <c r="C1566" s="7"/>
      <c r="D1566" s="80"/>
      <c r="E1566" s="76"/>
    </row>
    <row r="1567" spans="2:5" ht="15" x14ac:dyDescent="0.2">
      <c r="B1567" s="7"/>
      <c r="C1567" s="7"/>
      <c r="D1567" s="80"/>
      <c r="E1567" s="76"/>
    </row>
    <row r="1568" spans="2:5" ht="15" x14ac:dyDescent="0.2">
      <c r="B1568" s="7"/>
      <c r="C1568" s="7"/>
      <c r="D1568" s="80"/>
      <c r="E1568" s="76"/>
    </row>
    <row r="1569" spans="2:5" ht="15" x14ac:dyDescent="0.2">
      <c r="B1569" s="7"/>
      <c r="C1569" s="7"/>
      <c r="D1569" s="80"/>
      <c r="E1569" s="76"/>
    </row>
    <row r="1570" spans="2:5" ht="15" x14ac:dyDescent="0.2">
      <c r="B1570" s="7"/>
      <c r="C1570" s="7"/>
      <c r="D1570" s="80"/>
      <c r="E1570" s="76"/>
    </row>
    <row r="1571" spans="2:5" ht="15" x14ac:dyDescent="0.2">
      <c r="B1571" s="7"/>
      <c r="C1571" s="7"/>
      <c r="D1571" s="80"/>
      <c r="E1571" s="76"/>
    </row>
    <row r="1572" spans="2:5" ht="15" x14ac:dyDescent="0.2">
      <c r="B1572" s="7"/>
      <c r="C1572" s="7"/>
      <c r="D1572" s="80"/>
      <c r="E1572" s="76"/>
    </row>
    <row r="1573" spans="2:5" ht="15" x14ac:dyDescent="0.2">
      <c r="B1573" s="7"/>
      <c r="C1573" s="7"/>
      <c r="D1573" s="80"/>
      <c r="E1573" s="76"/>
    </row>
    <row r="1574" spans="2:5" ht="15" x14ac:dyDescent="0.2">
      <c r="B1574" s="7"/>
      <c r="C1574" s="7"/>
      <c r="D1574" s="80"/>
      <c r="E1574" s="76"/>
    </row>
    <row r="1575" spans="2:5" ht="15" x14ac:dyDescent="0.2">
      <c r="B1575" s="7"/>
      <c r="C1575" s="7"/>
      <c r="D1575" s="80"/>
      <c r="E1575" s="76"/>
    </row>
    <row r="1576" spans="2:5" ht="15" x14ac:dyDescent="0.2">
      <c r="B1576" s="7"/>
      <c r="C1576" s="7"/>
      <c r="D1576" s="80"/>
      <c r="E1576" s="76"/>
    </row>
    <row r="1577" spans="2:5" ht="15" x14ac:dyDescent="0.2">
      <c r="B1577" s="7"/>
      <c r="C1577" s="7"/>
      <c r="D1577" s="80"/>
      <c r="E1577" s="76"/>
    </row>
    <row r="1578" spans="2:5" ht="15" x14ac:dyDescent="0.2">
      <c r="B1578" s="7"/>
      <c r="C1578" s="7"/>
      <c r="D1578" s="80"/>
      <c r="E1578" s="76"/>
    </row>
    <row r="1579" spans="2:5" ht="15" x14ac:dyDescent="0.2">
      <c r="B1579" s="7"/>
      <c r="C1579" s="7"/>
      <c r="D1579" s="80"/>
      <c r="E1579" s="76"/>
    </row>
    <row r="1580" spans="2:5" ht="15" x14ac:dyDescent="0.2">
      <c r="B1580" s="7"/>
      <c r="C1580" s="7"/>
      <c r="D1580" s="80"/>
      <c r="E1580" s="76"/>
    </row>
    <row r="1581" spans="2:5" ht="15" x14ac:dyDescent="0.2">
      <c r="B1581" s="7"/>
      <c r="C1581" s="7"/>
      <c r="D1581" s="80"/>
      <c r="E1581" s="76"/>
    </row>
    <row r="1582" spans="2:5" ht="15" x14ac:dyDescent="0.2">
      <c r="B1582" s="7"/>
      <c r="C1582" s="7"/>
      <c r="D1582" s="80"/>
      <c r="E1582" s="76"/>
    </row>
    <row r="1583" spans="2:5" ht="15" x14ac:dyDescent="0.2">
      <c r="B1583" s="7"/>
      <c r="C1583" s="7"/>
      <c r="D1583" s="80"/>
      <c r="E1583" s="76"/>
    </row>
    <row r="1584" spans="2:5" ht="15" x14ac:dyDescent="0.2">
      <c r="B1584" s="7"/>
      <c r="C1584" s="7"/>
      <c r="D1584" s="80"/>
      <c r="E1584" s="76"/>
    </row>
    <row r="1585" spans="2:5" ht="15" x14ac:dyDescent="0.2">
      <c r="B1585" s="7"/>
      <c r="C1585" s="7"/>
      <c r="D1585" s="80"/>
      <c r="E1585" s="76"/>
    </row>
    <row r="1586" spans="2:5" ht="15" x14ac:dyDescent="0.2">
      <c r="B1586" s="7"/>
      <c r="C1586" s="7"/>
      <c r="D1586" s="80"/>
      <c r="E1586" s="76"/>
    </row>
    <row r="1587" spans="2:5" ht="15" x14ac:dyDescent="0.2">
      <c r="B1587" s="7"/>
      <c r="C1587" s="7"/>
      <c r="D1587" s="80"/>
      <c r="E1587" s="76"/>
    </row>
    <row r="1588" spans="2:5" ht="15" x14ac:dyDescent="0.2">
      <c r="B1588" s="7"/>
      <c r="C1588" s="7"/>
      <c r="D1588" s="80"/>
      <c r="E1588" s="76"/>
    </row>
    <row r="1589" spans="2:5" ht="15" x14ac:dyDescent="0.2">
      <c r="B1589" s="7"/>
      <c r="C1589" s="7"/>
      <c r="D1589" s="80"/>
      <c r="E1589" s="76"/>
    </row>
    <row r="1590" spans="2:5" ht="15" x14ac:dyDescent="0.2">
      <c r="B1590" s="7"/>
      <c r="C1590" s="7"/>
      <c r="D1590" s="80"/>
      <c r="E1590" s="76"/>
    </row>
    <row r="1591" spans="2:5" ht="15" x14ac:dyDescent="0.2">
      <c r="B1591" s="7"/>
      <c r="C1591" s="7"/>
      <c r="D1591" s="80"/>
      <c r="E1591" s="76"/>
    </row>
    <row r="1592" spans="2:5" ht="15" x14ac:dyDescent="0.2">
      <c r="B1592" s="7"/>
      <c r="C1592" s="7"/>
      <c r="D1592" s="80"/>
      <c r="E1592" s="76"/>
    </row>
    <row r="1593" spans="2:5" ht="15" x14ac:dyDescent="0.2">
      <c r="B1593" s="7"/>
      <c r="C1593" s="7"/>
      <c r="D1593" s="80"/>
      <c r="E1593" s="76"/>
    </row>
    <row r="1594" spans="2:5" ht="15" x14ac:dyDescent="0.2">
      <c r="B1594" s="7"/>
      <c r="C1594" s="7"/>
      <c r="D1594" s="80"/>
      <c r="E1594" s="76"/>
    </row>
    <row r="1595" spans="2:5" ht="15" x14ac:dyDescent="0.2">
      <c r="B1595" s="7"/>
      <c r="C1595" s="7"/>
      <c r="D1595" s="80"/>
      <c r="E1595" s="76"/>
    </row>
    <row r="1596" spans="2:5" ht="15" x14ac:dyDescent="0.2">
      <c r="B1596" s="7"/>
      <c r="C1596" s="7"/>
      <c r="D1596" s="80"/>
      <c r="E1596" s="76"/>
    </row>
    <row r="1597" spans="2:5" ht="15" x14ac:dyDescent="0.2">
      <c r="B1597" s="7"/>
      <c r="C1597" s="7"/>
      <c r="D1597" s="80"/>
      <c r="E1597" s="76"/>
    </row>
    <row r="1598" spans="2:5" ht="15" x14ac:dyDescent="0.2">
      <c r="B1598" s="7"/>
      <c r="C1598" s="7"/>
      <c r="D1598" s="80"/>
      <c r="E1598" s="76"/>
    </row>
    <row r="1599" spans="2:5" ht="15" x14ac:dyDescent="0.2">
      <c r="B1599" s="7"/>
      <c r="C1599" s="7"/>
      <c r="D1599" s="80"/>
      <c r="E1599" s="76"/>
    </row>
    <row r="1600" spans="2:5" ht="15" x14ac:dyDescent="0.2">
      <c r="B1600" s="7"/>
      <c r="C1600" s="7"/>
      <c r="D1600" s="80"/>
      <c r="E1600" s="76"/>
    </row>
    <row r="1601" spans="2:5" ht="15" x14ac:dyDescent="0.2">
      <c r="B1601" s="7"/>
      <c r="C1601" s="7"/>
      <c r="D1601" s="80"/>
      <c r="E1601" s="76"/>
    </row>
    <row r="1602" spans="2:5" ht="15" x14ac:dyDescent="0.2">
      <c r="B1602" s="7"/>
      <c r="C1602" s="7"/>
      <c r="D1602" s="80"/>
      <c r="E1602" s="76"/>
    </row>
    <row r="1603" spans="2:5" ht="15" x14ac:dyDescent="0.2">
      <c r="B1603" s="7"/>
      <c r="C1603" s="7"/>
      <c r="D1603" s="80"/>
      <c r="E1603" s="76"/>
    </row>
    <row r="1604" spans="2:5" ht="15" x14ac:dyDescent="0.2">
      <c r="B1604" s="7"/>
      <c r="C1604" s="7"/>
      <c r="D1604" s="80"/>
      <c r="E1604" s="76"/>
    </row>
    <row r="1605" spans="2:5" ht="15" x14ac:dyDescent="0.2">
      <c r="B1605" s="7"/>
      <c r="C1605" s="7"/>
      <c r="D1605" s="80"/>
      <c r="E1605" s="76"/>
    </row>
    <row r="1606" spans="2:5" ht="15" x14ac:dyDescent="0.2">
      <c r="B1606" s="7"/>
      <c r="C1606" s="7"/>
      <c r="D1606" s="80"/>
      <c r="E1606" s="76"/>
    </row>
    <row r="1607" spans="2:5" ht="15" x14ac:dyDescent="0.2">
      <c r="B1607" s="7"/>
      <c r="C1607" s="7"/>
      <c r="D1607" s="80"/>
      <c r="E1607" s="76"/>
    </row>
    <row r="1608" spans="2:5" ht="15" x14ac:dyDescent="0.2">
      <c r="B1608" s="7"/>
      <c r="C1608" s="7"/>
      <c r="D1608" s="80"/>
      <c r="E1608" s="76"/>
    </row>
    <row r="1609" spans="2:5" ht="15" x14ac:dyDescent="0.2">
      <c r="B1609" s="7"/>
      <c r="C1609" s="7"/>
      <c r="D1609" s="80"/>
      <c r="E1609" s="76"/>
    </row>
    <row r="1610" spans="2:5" ht="15" x14ac:dyDescent="0.2">
      <c r="B1610" s="7"/>
      <c r="C1610" s="7"/>
      <c r="D1610" s="80"/>
      <c r="E1610" s="76"/>
    </row>
    <row r="1611" spans="2:5" ht="15" x14ac:dyDescent="0.2">
      <c r="B1611" s="7"/>
      <c r="C1611" s="7"/>
      <c r="D1611" s="80"/>
      <c r="E1611" s="76"/>
    </row>
    <row r="1612" spans="2:5" ht="15" x14ac:dyDescent="0.2">
      <c r="B1612" s="7"/>
      <c r="C1612" s="7"/>
      <c r="D1612" s="80"/>
      <c r="E1612" s="76"/>
    </row>
    <row r="1613" spans="2:5" ht="15" x14ac:dyDescent="0.2">
      <c r="B1613" s="7"/>
      <c r="C1613" s="7"/>
      <c r="D1613" s="80"/>
      <c r="E1613" s="76"/>
    </row>
    <row r="1614" spans="2:5" ht="15" x14ac:dyDescent="0.2">
      <c r="B1614" s="7"/>
      <c r="C1614" s="7"/>
      <c r="D1614" s="80"/>
      <c r="E1614" s="76"/>
    </row>
    <row r="1615" spans="2:5" ht="15" x14ac:dyDescent="0.2">
      <c r="B1615" s="7"/>
      <c r="C1615" s="7"/>
      <c r="D1615" s="80"/>
      <c r="E1615" s="76"/>
    </row>
    <row r="1616" spans="2:5" ht="15" x14ac:dyDescent="0.2">
      <c r="B1616" s="7"/>
      <c r="C1616" s="7"/>
      <c r="D1616" s="80"/>
      <c r="E1616" s="76"/>
    </row>
    <row r="1617" spans="2:5" ht="15" x14ac:dyDescent="0.2">
      <c r="B1617" s="7"/>
      <c r="C1617" s="7"/>
      <c r="D1617" s="80"/>
      <c r="E1617" s="76"/>
    </row>
    <row r="1618" spans="2:5" ht="15" x14ac:dyDescent="0.2">
      <c r="B1618" s="7"/>
      <c r="C1618" s="7"/>
      <c r="D1618" s="80"/>
      <c r="E1618" s="76"/>
    </row>
    <row r="1619" spans="2:5" ht="15" x14ac:dyDescent="0.2">
      <c r="B1619" s="7"/>
      <c r="C1619" s="7"/>
      <c r="D1619" s="80"/>
      <c r="E1619" s="76"/>
    </row>
    <row r="1620" spans="2:5" ht="15" x14ac:dyDescent="0.2">
      <c r="B1620" s="7"/>
      <c r="C1620" s="7"/>
      <c r="D1620" s="80"/>
      <c r="E1620" s="76"/>
    </row>
    <row r="1621" spans="2:5" ht="15" x14ac:dyDescent="0.2">
      <c r="B1621" s="7"/>
      <c r="C1621" s="7"/>
      <c r="D1621" s="80"/>
      <c r="E1621" s="76"/>
    </row>
    <row r="1622" spans="2:5" ht="15" x14ac:dyDescent="0.2">
      <c r="B1622" s="7"/>
      <c r="C1622" s="7"/>
      <c r="D1622" s="80"/>
      <c r="E1622" s="76"/>
    </row>
    <row r="1623" spans="2:5" ht="15" x14ac:dyDescent="0.2">
      <c r="B1623" s="7"/>
      <c r="C1623" s="7"/>
      <c r="D1623" s="80"/>
      <c r="E1623" s="76"/>
    </row>
    <row r="1624" spans="2:5" ht="15" x14ac:dyDescent="0.2">
      <c r="B1624" s="7"/>
      <c r="C1624" s="7"/>
      <c r="D1624" s="80"/>
      <c r="E1624" s="76"/>
    </row>
    <row r="1625" spans="2:5" ht="15" x14ac:dyDescent="0.2">
      <c r="B1625" s="7"/>
      <c r="C1625" s="7"/>
      <c r="D1625" s="80"/>
      <c r="E1625" s="76"/>
    </row>
    <row r="1626" spans="2:5" ht="15" x14ac:dyDescent="0.2">
      <c r="B1626" s="7"/>
      <c r="C1626" s="7"/>
      <c r="D1626" s="80"/>
      <c r="E1626" s="76"/>
    </row>
    <row r="1627" spans="2:5" ht="15" x14ac:dyDescent="0.2">
      <c r="B1627" s="7"/>
      <c r="C1627" s="7"/>
      <c r="D1627" s="80"/>
      <c r="E1627" s="76"/>
    </row>
    <row r="1628" spans="2:5" ht="15" x14ac:dyDescent="0.2">
      <c r="B1628" s="7"/>
      <c r="C1628" s="7"/>
      <c r="D1628" s="80"/>
      <c r="E1628" s="76"/>
    </row>
    <row r="1629" spans="2:5" ht="15" x14ac:dyDescent="0.2">
      <c r="B1629" s="7"/>
      <c r="C1629" s="7"/>
      <c r="D1629" s="80"/>
      <c r="E1629" s="76"/>
    </row>
    <row r="1630" spans="2:5" ht="15" x14ac:dyDescent="0.2">
      <c r="B1630" s="7"/>
      <c r="C1630" s="7"/>
      <c r="D1630" s="80"/>
      <c r="E1630" s="76"/>
    </row>
    <row r="1631" spans="2:5" ht="15" x14ac:dyDescent="0.2">
      <c r="B1631" s="7"/>
      <c r="C1631" s="7"/>
      <c r="D1631" s="80"/>
      <c r="E1631" s="76"/>
    </row>
    <row r="1632" spans="2:5" ht="15" x14ac:dyDescent="0.2">
      <c r="B1632" s="7"/>
      <c r="C1632" s="7"/>
      <c r="D1632" s="80"/>
      <c r="E1632" s="76"/>
    </row>
    <row r="1633" spans="2:5" ht="15" x14ac:dyDescent="0.2">
      <c r="B1633" s="7"/>
      <c r="C1633" s="7"/>
      <c r="D1633" s="80"/>
      <c r="E1633" s="76"/>
    </row>
    <row r="1634" spans="2:5" ht="15" x14ac:dyDescent="0.2">
      <c r="B1634" s="7"/>
      <c r="C1634" s="7"/>
      <c r="D1634" s="80"/>
      <c r="E1634" s="76"/>
    </row>
    <row r="1635" spans="2:5" ht="15" x14ac:dyDescent="0.2">
      <c r="B1635" s="7"/>
      <c r="C1635" s="7"/>
      <c r="D1635" s="80"/>
      <c r="E1635" s="76"/>
    </row>
    <row r="1636" spans="2:5" ht="15" x14ac:dyDescent="0.2">
      <c r="B1636" s="7"/>
      <c r="C1636" s="7"/>
      <c r="D1636" s="80"/>
      <c r="E1636" s="76"/>
    </row>
    <row r="1637" spans="2:5" ht="15" x14ac:dyDescent="0.2">
      <c r="B1637" s="7"/>
      <c r="C1637" s="7"/>
      <c r="D1637" s="80"/>
      <c r="E1637" s="76"/>
    </row>
    <row r="1638" spans="2:5" ht="15" x14ac:dyDescent="0.2">
      <c r="B1638" s="7"/>
      <c r="C1638" s="7"/>
      <c r="D1638" s="80"/>
      <c r="E1638" s="76"/>
    </row>
    <row r="1639" spans="2:5" ht="15" x14ac:dyDescent="0.2">
      <c r="B1639" s="7"/>
      <c r="C1639" s="7"/>
      <c r="D1639" s="80"/>
      <c r="E1639" s="76"/>
    </row>
    <row r="1640" spans="2:5" ht="15" x14ac:dyDescent="0.2">
      <c r="B1640" s="7"/>
      <c r="C1640" s="7"/>
      <c r="D1640" s="80"/>
      <c r="E1640" s="76"/>
    </row>
    <row r="1641" spans="2:5" ht="15" x14ac:dyDescent="0.2">
      <c r="B1641" s="7"/>
      <c r="C1641" s="7"/>
      <c r="D1641" s="80"/>
      <c r="E1641" s="76"/>
    </row>
    <row r="1642" spans="2:5" ht="15" x14ac:dyDescent="0.2">
      <c r="B1642" s="7"/>
      <c r="C1642" s="7"/>
      <c r="D1642" s="80"/>
      <c r="E1642" s="76"/>
    </row>
    <row r="1643" spans="2:5" ht="15" x14ac:dyDescent="0.2">
      <c r="B1643" s="7"/>
      <c r="C1643" s="7"/>
      <c r="D1643" s="80"/>
      <c r="E1643" s="76"/>
    </row>
    <row r="1644" spans="2:5" ht="15" x14ac:dyDescent="0.2">
      <c r="B1644" s="7"/>
      <c r="C1644" s="7"/>
      <c r="D1644" s="80"/>
      <c r="E1644" s="76"/>
    </row>
    <row r="1645" spans="2:5" ht="15" x14ac:dyDescent="0.2">
      <c r="B1645" s="7"/>
      <c r="C1645" s="7"/>
      <c r="D1645" s="80"/>
      <c r="E1645" s="76"/>
    </row>
    <row r="1646" spans="2:5" ht="15" x14ac:dyDescent="0.2">
      <c r="B1646" s="7"/>
      <c r="C1646" s="7"/>
      <c r="D1646" s="80"/>
      <c r="E1646" s="76"/>
    </row>
    <row r="1647" spans="2:5" ht="15" x14ac:dyDescent="0.2">
      <c r="B1647" s="7"/>
      <c r="C1647" s="7"/>
      <c r="D1647" s="80"/>
      <c r="E1647" s="76"/>
    </row>
    <row r="1648" spans="2:5" ht="15" x14ac:dyDescent="0.2">
      <c r="B1648" s="7"/>
      <c r="C1648" s="7"/>
      <c r="D1648" s="80"/>
      <c r="E1648" s="76"/>
    </row>
    <row r="1649" spans="1:5" ht="15" x14ac:dyDescent="0.2">
      <c r="B1649" s="7"/>
      <c r="C1649" s="7"/>
      <c r="D1649" s="80"/>
      <c r="E1649" s="76"/>
    </row>
    <row r="1650" spans="1:5" ht="15" x14ac:dyDescent="0.2">
      <c r="B1650" s="7"/>
      <c r="C1650" s="7"/>
      <c r="D1650" s="80"/>
      <c r="E1650" s="76"/>
    </row>
    <row r="1651" spans="1:5" ht="15" x14ac:dyDescent="0.2">
      <c r="B1651" s="7"/>
      <c r="C1651" s="7"/>
      <c r="D1651" s="80"/>
      <c r="E1651" s="76"/>
    </row>
    <row r="1652" spans="1:5" ht="15" x14ac:dyDescent="0.2">
      <c r="A1652" s="53" t="s">
        <v>2436</v>
      </c>
      <c r="B1652" s="7" t="s">
        <v>675</v>
      </c>
      <c r="C1652" s="7" t="s">
        <v>6</v>
      </c>
      <c r="D1652" s="80">
        <v>89000</v>
      </c>
      <c r="E1652" s="76">
        <f t="shared" si="10"/>
        <v>89015</v>
      </c>
    </row>
    <row r="1653" spans="1:5" ht="15" x14ac:dyDescent="0.2">
      <c r="B1653" s="7" t="s">
        <v>677</v>
      </c>
      <c r="C1653" s="7" t="s">
        <v>6</v>
      </c>
      <c r="D1653" s="80">
        <v>48000</v>
      </c>
      <c r="E1653" s="76">
        <f t="shared" si="10"/>
        <v>48015</v>
      </c>
    </row>
    <row r="1654" spans="1:5" ht="15" x14ac:dyDescent="0.2">
      <c r="B1654" s="7" t="s">
        <v>679</v>
      </c>
      <c r="C1654" s="7" t="s">
        <v>6</v>
      </c>
      <c r="D1654" s="80">
        <v>39000</v>
      </c>
      <c r="E1654" s="76">
        <f t="shared" si="10"/>
        <v>39015</v>
      </c>
    </row>
    <row r="1655" spans="1:5" ht="15" x14ac:dyDescent="0.2">
      <c r="B1655" s="7" t="s">
        <v>681</v>
      </c>
      <c r="C1655" s="7" t="s">
        <v>3</v>
      </c>
      <c r="D1655" s="80">
        <v>54000</v>
      </c>
      <c r="E1655" s="76">
        <f t="shared" si="10"/>
        <v>54015</v>
      </c>
    </row>
    <row r="1656" spans="1:5" ht="15" x14ac:dyDescent="0.2">
      <c r="B1656" s="7" t="s">
        <v>683</v>
      </c>
      <c r="C1656" s="7" t="s">
        <v>3</v>
      </c>
      <c r="D1656" s="80">
        <v>36000</v>
      </c>
      <c r="E1656" s="76">
        <f t="shared" si="10"/>
        <v>36015</v>
      </c>
    </row>
    <row r="1657" spans="1:5" ht="15" x14ac:dyDescent="0.2">
      <c r="B1657" s="7" t="s">
        <v>685</v>
      </c>
      <c r="C1657" s="7" t="s">
        <v>6</v>
      </c>
      <c r="D1657" s="80">
        <v>43000</v>
      </c>
      <c r="E1657" s="76">
        <f t="shared" si="10"/>
        <v>43015</v>
      </c>
    </row>
    <row r="1658" spans="1:5" ht="15" x14ac:dyDescent="0.2">
      <c r="B1658" s="7" t="s">
        <v>687</v>
      </c>
      <c r="C1658" s="7" t="s">
        <v>37</v>
      </c>
      <c r="D1658" s="80">
        <v>86000</v>
      </c>
      <c r="E1658" s="76">
        <f t="shared" si="10"/>
        <v>86015</v>
      </c>
    </row>
    <row r="1659" spans="1:5" ht="15" x14ac:dyDescent="0.2">
      <c r="B1659" s="7" t="s">
        <v>689</v>
      </c>
      <c r="C1659" s="7" t="s">
        <v>3</v>
      </c>
      <c r="D1659" s="80">
        <v>19500</v>
      </c>
      <c r="E1659" s="76">
        <f t="shared" si="10"/>
        <v>19515</v>
      </c>
    </row>
    <row r="1660" spans="1:5" ht="15" x14ac:dyDescent="0.2">
      <c r="B1660" s="7" t="s">
        <v>691</v>
      </c>
      <c r="C1660" s="7" t="s">
        <v>6</v>
      </c>
      <c r="D1660" s="80">
        <v>234000</v>
      </c>
      <c r="E1660" s="76">
        <f t="shared" si="10"/>
        <v>234015</v>
      </c>
    </row>
    <row r="1661" spans="1:5" ht="15" x14ac:dyDescent="0.2">
      <c r="B1661" s="7" t="s">
        <v>693</v>
      </c>
      <c r="C1661" s="7" t="s">
        <v>12</v>
      </c>
      <c r="D1661" s="80">
        <v>54000</v>
      </c>
      <c r="E1661" s="76">
        <f t="shared" si="10"/>
        <v>54015</v>
      </c>
    </row>
    <row r="1662" spans="1:5" ht="15" x14ac:dyDescent="0.2">
      <c r="B1662" s="7" t="s">
        <v>695</v>
      </c>
      <c r="C1662" s="7" t="s">
        <v>12</v>
      </c>
      <c r="D1662" s="80">
        <v>13500</v>
      </c>
      <c r="E1662" s="76">
        <f t="shared" si="10"/>
        <v>13515</v>
      </c>
    </row>
    <row r="1663" spans="1:5" ht="15" x14ac:dyDescent="0.2">
      <c r="B1663" s="7" t="s">
        <v>697</v>
      </c>
      <c r="C1663" s="7" t="s">
        <v>12</v>
      </c>
      <c r="D1663" s="80">
        <v>32000</v>
      </c>
      <c r="E1663" s="76">
        <f t="shared" si="10"/>
        <v>32015</v>
      </c>
    </row>
    <row r="1664" spans="1:5" ht="15" x14ac:dyDescent="0.2">
      <c r="B1664" s="7" t="s">
        <v>699</v>
      </c>
      <c r="C1664" s="7" t="s">
        <v>3</v>
      </c>
      <c r="D1664" s="80">
        <v>4500</v>
      </c>
      <c r="E1664" s="76">
        <f t="shared" si="10"/>
        <v>4515</v>
      </c>
    </row>
    <row r="1665" spans="2:5" ht="15" x14ac:dyDescent="0.2">
      <c r="B1665" s="7" t="s">
        <v>701</v>
      </c>
      <c r="C1665" s="7" t="s">
        <v>37</v>
      </c>
      <c r="D1665" s="80">
        <v>84000</v>
      </c>
      <c r="E1665" s="76">
        <f t="shared" si="10"/>
        <v>84015</v>
      </c>
    </row>
    <row r="1666" spans="2:5" ht="15" x14ac:dyDescent="0.2">
      <c r="B1666" s="7" t="s">
        <v>703</v>
      </c>
      <c r="C1666" s="7" t="s">
        <v>6</v>
      </c>
      <c r="D1666" s="80">
        <v>142400</v>
      </c>
      <c r="E1666" s="76">
        <f t="shared" si="10"/>
        <v>142415</v>
      </c>
    </row>
    <row r="1667" spans="2:5" ht="15" x14ac:dyDescent="0.2">
      <c r="B1667" s="7" t="s">
        <v>705</v>
      </c>
      <c r="C1667" s="7" t="s">
        <v>6</v>
      </c>
      <c r="D1667" s="80">
        <v>42000</v>
      </c>
      <c r="E1667" s="76">
        <f t="shared" si="10"/>
        <v>42015</v>
      </c>
    </row>
    <row r="1668" spans="2:5" ht="15" x14ac:dyDescent="0.2">
      <c r="B1668" s="7" t="s">
        <v>707</v>
      </c>
      <c r="C1668" s="7" t="s">
        <v>6</v>
      </c>
      <c r="D1668" s="80">
        <v>42000</v>
      </c>
      <c r="E1668" s="76">
        <f t="shared" si="10"/>
        <v>42015</v>
      </c>
    </row>
    <row r="1669" spans="2:5" ht="15" x14ac:dyDescent="0.2">
      <c r="B1669" s="7" t="s">
        <v>709</v>
      </c>
      <c r="C1669" s="7" t="s">
        <v>6</v>
      </c>
      <c r="D1669" s="80">
        <v>54000</v>
      </c>
      <c r="E1669" s="76">
        <f t="shared" si="10"/>
        <v>54015</v>
      </c>
    </row>
    <row r="1670" spans="2:5" ht="15" x14ac:dyDescent="0.2">
      <c r="B1670" s="7" t="s">
        <v>711</v>
      </c>
      <c r="C1670" s="7" t="s">
        <v>6</v>
      </c>
      <c r="D1670" s="80">
        <v>175000</v>
      </c>
      <c r="E1670" s="76">
        <f t="shared" si="10"/>
        <v>175015</v>
      </c>
    </row>
    <row r="1671" spans="2:5" ht="15" x14ac:dyDescent="0.2">
      <c r="B1671" s="7" t="s">
        <v>713</v>
      </c>
      <c r="C1671" s="7" t="s">
        <v>6</v>
      </c>
      <c r="D1671" s="80">
        <v>26000</v>
      </c>
      <c r="E1671" s="76">
        <f t="shared" si="10"/>
        <v>26015</v>
      </c>
    </row>
    <row r="1672" spans="2:5" ht="15" x14ac:dyDescent="0.2">
      <c r="B1672" s="7" t="s">
        <v>716</v>
      </c>
      <c r="C1672" s="7" t="s">
        <v>6</v>
      </c>
      <c r="D1672" s="80">
        <v>25000</v>
      </c>
      <c r="E1672" s="76">
        <f t="shared" si="10"/>
        <v>25015</v>
      </c>
    </row>
    <row r="1673" spans="2:5" ht="15" x14ac:dyDescent="0.2">
      <c r="B1673" s="7" t="s">
        <v>718</v>
      </c>
      <c r="C1673" s="7" t="s">
        <v>227</v>
      </c>
      <c r="D1673" s="80">
        <v>19000</v>
      </c>
      <c r="E1673" s="76">
        <f t="shared" si="10"/>
        <v>19015</v>
      </c>
    </row>
    <row r="1674" spans="2:5" ht="15" x14ac:dyDescent="0.2">
      <c r="B1674" s="7" t="s">
        <v>720</v>
      </c>
      <c r="C1674" s="7" t="s">
        <v>6</v>
      </c>
      <c r="D1674" s="80">
        <v>38000</v>
      </c>
      <c r="E1674" s="76">
        <f t="shared" si="10"/>
        <v>38015</v>
      </c>
    </row>
    <row r="1675" spans="2:5" ht="15" x14ac:dyDescent="0.2">
      <c r="B1675" s="7" t="s">
        <v>722</v>
      </c>
      <c r="C1675" s="7" t="s">
        <v>516</v>
      </c>
      <c r="D1675" s="80">
        <v>17500</v>
      </c>
      <c r="E1675" s="76">
        <f t="shared" si="10"/>
        <v>17515</v>
      </c>
    </row>
    <row r="1676" spans="2:5" ht="15" x14ac:dyDescent="0.2">
      <c r="B1676" s="7" t="s">
        <v>724</v>
      </c>
      <c r="C1676" s="7" t="s">
        <v>37</v>
      </c>
      <c r="D1676" s="80">
        <v>53400</v>
      </c>
      <c r="E1676" s="76">
        <f t="shared" si="10"/>
        <v>53415</v>
      </c>
    </row>
    <row r="1677" spans="2:5" ht="15" x14ac:dyDescent="0.2">
      <c r="B1677" s="7" t="s">
        <v>726</v>
      </c>
      <c r="C1677" s="7" t="s">
        <v>37</v>
      </c>
      <c r="D1677" s="80">
        <v>65000</v>
      </c>
      <c r="E1677" s="76">
        <f t="shared" si="10"/>
        <v>65015</v>
      </c>
    </row>
    <row r="1678" spans="2:5" ht="15" x14ac:dyDescent="0.2">
      <c r="B1678" s="7" t="s">
        <v>728</v>
      </c>
      <c r="C1678" s="7" t="s">
        <v>6</v>
      </c>
      <c r="D1678" s="80">
        <v>32000</v>
      </c>
      <c r="E1678" s="76">
        <f t="shared" si="10"/>
        <v>32015</v>
      </c>
    </row>
    <row r="1679" spans="2:5" ht="15" x14ac:dyDescent="0.2">
      <c r="B1679" s="7" t="s">
        <v>730</v>
      </c>
      <c r="C1679" s="7" t="s">
        <v>6</v>
      </c>
      <c r="D1679" s="80">
        <v>60000</v>
      </c>
      <c r="E1679" s="76">
        <f t="shared" si="10"/>
        <v>60015</v>
      </c>
    </row>
    <row r="1680" spans="2:5" ht="15" x14ac:dyDescent="0.2">
      <c r="B1680" s="7" t="s">
        <v>732</v>
      </c>
      <c r="C1680" s="7" t="s">
        <v>6</v>
      </c>
      <c r="D1680" s="80">
        <v>97000</v>
      </c>
      <c r="E1680" s="76">
        <f t="shared" si="10"/>
        <v>97015</v>
      </c>
    </row>
    <row r="1681" spans="2:5" ht="15" x14ac:dyDescent="0.2">
      <c r="B1681" s="7" t="s">
        <v>734</v>
      </c>
      <c r="C1681" s="7" t="s">
        <v>6</v>
      </c>
      <c r="D1681" s="80">
        <v>92000</v>
      </c>
      <c r="E1681" s="76">
        <f t="shared" si="10"/>
        <v>92015</v>
      </c>
    </row>
    <row r="1682" spans="2:5" ht="15" x14ac:dyDescent="0.2">
      <c r="B1682" s="7" t="s">
        <v>736</v>
      </c>
      <c r="C1682" s="7" t="s">
        <v>101</v>
      </c>
      <c r="D1682" s="80">
        <v>156000</v>
      </c>
      <c r="E1682" s="76">
        <f t="shared" si="10"/>
        <v>156015</v>
      </c>
    </row>
    <row r="1683" spans="2:5" ht="15" x14ac:dyDescent="0.2">
      <c r="B1683" s="7" t="s">
        <v>738</v>
      </c>
      <c r="C1683" s="7" t="s">
        <v>6</v>
      </c>
      <c r="D1683" s="80">
        <v>533000</v>
      </c>
      <c r="E1683" s="76">
        <f t="shared" si="10"/>
        <v>533015</v>
      </c>
    </row>
    <row r="1684" spans="2:5" ht="15" x14ac:dyDescent="0.2">
      <c r="B1684" s="7" t="s">
        <v>740</v>
      </c>
      <c r="C1684" s="7" t="s">
        <v>3</v>
      </c>
      <c r="D1684" s="80">
        <v>50000</v>
      </c>
      <c r="E1684" s="76">
        <f t="shared" si="10"/>
        <v>50015</v>
      </c>
    </row>
    <row r="1685" spans="2:5" ht="15" x14ac:dyDescent="0.2">
      <c r="B1685" s="7" t="s">
        <v>742</v>
      </c>
      <c r="C1685" s="7" t="s">
        <v>3</v>
      </c>
      <c r="D1685" s="80">
        <v>51000</v>
      </c>
      <c r="E1685" s="76">
        <f t="shared" si="10"/>
        <v>51015</v>
      </c>
    </row>
    <row r="1686" spans="2:5" ht="15" x14ac:dyDescent="0.2">
      <c r="B1686" s="7" t="s">
        <v>744</v>
      </c>
      <c r="C1686" s="7" t="s">
        <v>6</v>
      </c>
      <c r="D1686" s="80">
        <v>209000</v>
      </c>
      <c r="E1686" s="76">
        <f t="shared" si="10"/>
        <v>209015</v>
      </c>
    </row>
    <row r="1687" spans="2:5" ht="15" x14ac:dyDescent="0.2">
      <c r="B1687" s="7" t="s">
        <v>746</v>
      </c>
      <c r="C1687" s="7" t="s">
        <v>323</v>
      </c>
      <c r="D1687" s="81">
        <v>152000</v>
      </c>
      <c r="E1687" s="76">
        <f t="shared" si="10"/>
        <v>152015</v>
      </c>
    </row>
    <row r="1688" spans="2:5" ht="15" x14ac:dyDescent="0.2">
      <c r="B1688" s="7" t="s">
        <v>644</v>
      </c>
      <c r="C1688" s="19" t="s">
        <v>6</v>
      </c>
      <c r="D1688" s="82">
        <v>35000</v>
      </c>
      <c r="E1688" s="76">
        <f t="shared" si="10"/>
        <v>35015</v>
      </c>
    </row>
    <row r="1689" spans="2:5" ht="15" x14ac:dyDescent="0.2">
      <c r="B1689" s="7" t="s">
        <v>646</v>
      </c>
      <c r="C1689" s="19" t="s">
        <v>6</v>
      </c>
      <c r="D1689" s="82">
        <v>145000</v>
      </c>
      <c r="E1689" s="76">
        <f t="shared" si="10"/>
        <v>145015</v>
      </c>
    </row>
    <row r="1690" spans="2:5" ht="15" x14ac:dyDescent="0.2">
      <c r="B1690" s="7" t="s">
        <v>648</v>
      </c>
      <c r="C1690" s="19" t="s">
        <v>3</v>
      </c>
      <c r="D1690" s="82">
        <v>51000</v>
      </c>
      <c r="E1690" s="76">
        <f t="shared" si="10"/>
        <v>51015</v>
      </c>
    </row>
    <row r="1691" spans="2:5" ht="15" x14ac:dyDescent="0.2">
      <c r="B1691" s="7" t="s">
        <v>650</v>
      </c>
      <c r="C1691" s="19" t="s">
        <v>6</v>
      </c>
      <c r="D1691" s="82">
        <v>190000</v>
      </c>
      <c r="E1691" s="76">
        <f t="shared" si="10"/>
        <v>190015</v>
      </c>
    </row>
    <row r="1692" spans="2:5" ht="15" x14ac:dyDescent="0.2">
      <c r="B1692" s="7" t="s">
        <v>652</v>
      </c>
      <c r="C1692" s="19" t="s">
        <v>6</v>
      </c>
      <c r="D1692" s="82">
        <v>190000</v>
      </c>
      <c r="E1692" s="76">
        <f t="shared" si="10"/>
        <v>190015</v>
      </c>
    </row>
    <row r="1693" spans="2:5" ht="15" x14ac:dyDescent="0.2">
      <c r="B1693" s="7" t="s">
        <v>654</v>
      </c>
      <c r="C1693" s="19" t="s">
        <v>3</v>
      </c>
      <c r="D1693" s="82">
        <v>10000</v>
      </c>
      <c r="E1693" s="76">
        <f t="shared" si="10"/>
        <v>10015</v>
      </c>
    </row>
    <row r="1694" spans="2:5" ht="15" x14ac:dyDescent="0.2">
      <c r="B1694" s="7" t="s">
        <v>656</v>
      </c>
      <c r="C1694" s="19" t="s">
        <v>3</v>
      </c>
      <c r="D1694" s="82">
        <v>49000</v>
      </c>
      <c r="E1694" s="76">
        <f t="shared" si="10"/>
        <v>49015</v>
      </c>
    </row>
    <row r="1695" spans="2:5" ht="15" x14ac:dyDescent="0.2">
      <c r="B1695" s="7" t="s">
        <v>658</v>
      </c>
      <c r="C1695" s="19" t="s">
        <v>3</v>
      </c>
      <c r="D1695" s="82">
        <v>49000</v>
      </c>
      <c r="E1695" s="76">
        <f t="shared" si="10"/>
        <v>49015</v>
      </c>
    </row>
    <row r="1696" spans="2:5" ht="15" x14ac:dyDescent="0.2">
      <c r="B1696" s="7" t="s">
        <v>660</v>
      </c>
      <c r="C1696" s="19" t="s">
        <v>3</v>
      </c>
      <c r="D1696" s="82">
        <v>40000</v>
      </c>
      <c r="E1696" s="76">
        <f t="shared" si="10"/>
        <v>40015</v>
      </c>
    </row>
    <row r="1697" spans="2:5" ht="15" x14ac:dyDescent="0.2">
      <c r="B1697" s="7" t="s">
        <v>662</v>
      </c>
      <c r="C1697" s="19" t="s">
        <v>6</v>
      </c>
      <c r="D1697" s="82">
        <v>183000</v>
      </c>
      <c r="E1697" s="76">
        <f t="shared" si="10"/>
        <v>183015</v>
      </c>
    </row>
    <row r="1698" spans="2:5" ht="15" x14ac:dyDescent="0.2">
      <c r="B1698" s="7" t="s">
        <v>664</v>
      </c>
      <c r="C1698" s="19" t="s">
        <v>6</v>
      </c>
      <c r="D1698" s="82">
        <v>18000</v>
      </c>
      <c r="E1698" s="76">
        <f t="shared" si="10"/>
        <v>18015</v>
      </c>
    </row>
    <row r="1699" spans="2:5" ht="15" x14ac:dyDescent="0.2">
      <c r="B1699" s="7" t="s">
        <v>666</v>
      </c>
      <c r="C1699" s="19" t="s">
        <v>6</v>
      </c>
      <c r="D1699" s="82">
        <v>102000</v>
      </c>
      <c r="E1699" s="76">
        <f t="shared" si="10"/>
        <v>102015</v>
      </c>
    </row>
    <row r="1700" spans="2:5" ht="15" x14ac:dyDescent="0.2">
      <c r="B1700" s="7" t="s">
        <v>668</v>
      </c>
      <c r="C1700" s="19" t="s">
        <v>6</v>
      </c>
      <c r="D1700" s="82">
        <v>129000</v>
      </c>
      <c r="E1700" s="76">
        <f t="shared" si="10"/>
        <v>129015</v>
      </c>
    </row>
    <row r="1701" spans="2:5" ht="15" x14ac:dyDescent="0.2">
      <c r="B1701" s="7" t="s">
        <v>670</v>
      </c>
      <c r="C1701" s="19" t="s">
        <v>6</v>
      </c>
      <c r="D1701" s="82">
        <v>65000</v>
      </c>
      <c r="E1701" s="76">
        <f t="shared" si="10"/>
        <v>65015</v>
      </c>
    </row>
    <row r="1702" spans="2:5" ht="15" x14ac:dyDescent="0.2">
      <c r="B1702" s="7" t="s">
        <v>672</v>
      </c>
      <c r="C1702" s="19" t="s">
        <v>6</v>
      </c>
      <c r="D1702" s="82">
        <v>88000</v>
      </c>
      <c r="E1702" s="76">
        <f t="shared" si="10"/>
        <v>88015</v>
      </c>
    </row>
    <row r="1703" spans="2:5" ht="15" x14ac:dyDescent="0.2">
      <c r="B1703" s="7" t="s">
        <v>674</v>
      </c>
      <c r="C1703" s="20" t="s">
        <v>45</v>
      </c>
      <c r="D1703" s="82">
        <v>95000</v>
      </c>
      <c r="E1703" s="76">
        <f t="shared" si="10"/>
        <v>95015</v>
      </c>
    </row>
    <row r="1704" spans="2:5" ht="15" x14ac:dyDescent="0.2">
      <c r="B1704" s="7" t="s">
        <v>676</v>
      </c>
      <c r="C1704" s="20" t="s">
        <v>45</v>
      </c>
      <c r="D1704" s="82">
        <v>74000</v>
      </c>
      <c r="E1704" s="76">
        <f t="shared" si="10"/>
        <v>74015</v>
      </c>
    </row>
    <row r="1705" spans="2:5" ht="15" x14ac:dyDescent="0.2">
      <c r="B1705" s="7" t="s">
        <v>678</v>
      </c>
      <c r="C1705" s="19" t="s">
        <v>3</v>
      </c>
      <c r="D1705" s="82">
        <v>35800</v>
      </c>
      <c r="E1705" s="76">
        <f t="shared" si="10"/>
        <v>35815</v>
      </c>
    </row>
    <row r="1706" spans="2:5" ht="15" x14ac:dyDescent="0.2">
      <c r="B1706" s="7" t="s">
        <v>680</v>
      </c>
      <c r="C1706" s="19" t="s">
        <v>6</v>
      </c>
      <c r="D1706" s="82">
        <v>48000</v>
      </c>
      <c r="E1706" s="76">
        <f t="shared" si="10"/>
        <v>48015</v>
      </c>
    </row>
    <row r="1707" spans="2:5" ht="15" x14ac:dyDescent="0.2">
      <c r="B1707" s="7" t="s">
        <v>682</v>
      </c>
      <c r="C1707" s="19" t="s">
        <v>6</v>
      </c>
      <c r="D1707" s="82">
        <v>26000</v>
      </c>
      <c r="E1707" s="76">
        <f t="shared" si="10"/>
        <v>26015</v>
      </c>
    </row>
    <row r="1708" spans="2:5" ht="15" x14ac:dyDescent="0.2">
      <c r="B1708" s="7" t="s">
        <v>684</v>
      </c>
      <c r="C1708" s="19" t="s">
        <v>6</v>
      </c>
      <c r="D1708" s="82">
        <v>57000</v>
      </c>
      <c r="E1708" s="76">
        <f t="shared" ref="E1708:E1971" si="11">D1708+15</f>
        <v>57015</v>
      </c>
    </row>
    <row r="1709" spans="2:5" ht="15" x14ac:dyDescent="0.2">
      <c r="B1709" s="7"/>
      <c r="C1709" s="19"/>
      <c r="D1709" s="82"/>
      <c r="E1709" s="76"/>
    </row>
    <row r="1710" spans="2:5" ht="15" x14ac:dyDescent="0.2">
      <c r="B1710" s="7"/>
      <c r="C1710" s="19"/>
      <c r="D1710" s="82"/>
      <c r="E1710" s="76"/>
    </row>
    <row r="1711" spans="2:5" ht="15" x14ac:dyDescent="0.2">
      <c r="B1711" s="7"/>
      <c r="C1711" s="19"/>
      <c r="D1711" s="82"/>
      <c r="E1711" s="76"/>
    </row>
    <row r="1712" spans="2:5" ht="15" x14ac:dyDescent="0.2">
      <c r="B1712" s="7"/>
      <c r="C1712" s="19"/>
      <c r="D1712" s="82"/>
      <c r="E1712" s="76"/>
    </row>
    <row r="1713" spans="2:5" ht="15" x14ac:dyDescent="0.2">
      <c r="B1713" s="7"/>
      <c r="C1713" s="19"/>
      <c r="D1713" s="82"/>
      <c r="E1713" s="76"/>
    </row>
    <row r="1714" spans="2:5" ht="15" x14ac:dyDescent="0.2">
      <c r="B1714" s="7"/>
      <c r="C1714" s="19"/>
      <c r="D1714" s="82"/>
      <c r="E1714" s="76"/>
    </row>
    <row r="1715" spans="2:5" ht="15" x14ac:dyDescent="0.2">
      <c r="B1715" s="7"/>
      <c r="C1715" s="19"/>
      <c r="D1715" s="82"/>
      <c r="E1715" s="76"/>
    </row>
    <row r="1716" spans="2:5" ht="15" x14ac:dyDescent="0.2">
      <c r="B1716" s="7"/>
      <c r="C1716" s="19"/>
      <c r="D1716" s="82"/>
      <c r="E1716" s="76"/>
    </row>
    <row r="1717" spans="2:5" ht="15" x14ac:dyDescent="0.2">
      <c r="B1717" s="7"/>
      <c r="C1717" s="19"/>
      <c r="D1717" s="82"/>
      <c r="E1717" s="76"/>
    </row>
    <row r="1718" spans="2:5" ht="15" x14ac:dyDescent="0.2">
      <c r="B1718" s="7"/>
      <c r="C1718" s="19"/>
      <c r="D1718" s="82"/>
      <c r="E1718" s="76"/>
    </row>
    <row r="1719" spans="2:5" ht="15" x14ac:dyDescent="0.2">
      <c r="B1719" s="7"/>
      <c r="C1719" s="19"/>
      <c r="D1719" s="82"/>
      <c r="E1719" s="76"/>
    </row>
    <row r="1720" spans="2:5" ht="15" x14ac:dyDescent="0.2">
      <c r="B1720" s="7"/>
      <c r="C1720" s="19"/>
      <c r="D1720" s="82"/>
      <c r="E1720" s="76"/>
    </row>
    <row r="1721" spans="2:5" ht="15" x14ac:dyDescent="0.2">
      <c r="B1721" s="7"/>
      <c r="C1721" s="19"/>
      <c r="D1721" s="82"/>
      <c r="E1721" s="76"/>
    </row>
    <row r="1722" spans="2:5" ht="15" x14ac:dyDescent="0.2">
      <c r="B1722" s="7"/>
      <c r="C1722" s="19"/>
      <c r="D1722" s="82"/>
      <c r="E1722" s="76"/>
    </row>
    <row r="1723" spans="2:5" ht="15" x14ac:dyDescent="0.2">
      <c r="B1723" s="7"/>
      <c r="C1723" s="19"/>
      <c r="D1723" s="82"/>
      <c r="E1723" s="76"/>
    </row>
    <row r="1724" spans="2:5" ht="15" x14ac:dyDescent="0.2">
      <c r="B1724" s="7"/>
      <c r="C1724" s="19"/>
      <c r="D1724" s="82"/>
      <c r="E1724" s="76"/>
    </row>
    <row r="1725" spans="2:5" ht="15" x14ac:dyDescent="0.2">
      <c r="B1725" s="7"/>
      <c r="C1725" s="19"/>
      <c r="D1725" s="82"/>
      <c r="E1725" s="76"/>
    </row>
    <row r="1726" spans="2:5" ht="15" x14ac:dyDescent="0.2">
      <c r="B1726" s="7"/>
      <c r="C1726" s="19"/>
      <c r="D1726" s="82"/>
      <c r="E1726" s="76"/>
    </row>
    <row r="1727" spans="2:5" ht="15" x14ac:dyDescent="0.2">
      <c r="B1727" s="7"/>
      <c r="C1727" s="19"/>
      <c r="D1727" s="82"/>
      <c r="E1727" s="76"/>
    </row>
    <row r="1728" spans="2:5" ht="15" x14ac:dyDescent="0.2">
      <c r="B1728" s="7"/>
      <c r="C1728" s="19"/>
      <c r="D1728" s="82"/>
      <c r="E1728" s="76"/>
    </row>
    <row r="1729" spans="2:5" ht="15" x14ac:dyDescent="0.2">
      <c r="B1729" s="7"/>
      <c r="C1729" s="19"/>
      <c r="D1729" s="82"/>
      <c r="E1729" s="76"/>
    </row>
    <row r="1730" spans="2:5" ht="15" x14ac:dyDescent="0.2">
      <c r="B1730" s="7"/>
      <c r="C1730" s="19"/>
      <c r="D1730" s="82"/>
      <c r="E1730" s="76"/>
    </row>
    <row r="1731" spans="2:5" ht="15" x14ac:dyDescent="0.2">
      <c r="B1731" s="7"/>
      <c r="C1731" s="19"/>
      <c r="D1731" s="82"/>
      <c r="E1731" s="76"/>
    </row>
    <row r="1732" spans="2:5" ht="15" x14ac:dyDescent="0.2">
      <c r="B1732" s="7"/>
      <c r="C1732" s="19"/>
      <c r="D1732" s="82"/>
      <c r="E1732" s="76"/>
    </row>
    <row r="1733" spans="2:5" ht="15" x14ac:dyDescent="0.2">
      <c r="B1733" s="7"/>
      <c r="C1733" s="19"/>
      <c r="D1733" s="82"/>
      <c r="E1733" s="76"/>
    </row>
    <row r="1734" spans="2:5" ht="15" x14ac:dyDescent="0.2">
      <c r="B1734" s="7"/>
      <c r="C1734" s="19"/>
      <c r="D1734" s="82"/>
      <c r="E1734" s="76"/>
    </row>
    <row r="1735" spans="2:5" ht="15" x14ac:dyDescent="0.2">
      <c r="B1735" s="7"/>
      <c r="C1735" s="19"/>
      <c r="D1735" s="82"/>
      <c r="E1735" s="76"/>
    </row>
    <row r="1736" spans="2:5" ht="15" x14ac:dyDescent="0.2">
      <c r="B1736" s="7"/>
      <c r="C1736" s="19"/>
      <c r="D1736" s="82"/>
      <c r="E1736" s="76"/>
    </row>
    <row r="1737" spans="2:5" ht="15" x14ac:dyDescent="0.2">
      <c r="B1737" s="7"/>
      <c r="C1737" s="19"/>
      <c r="D1737" s="82"/>
      <c r="E1737" s="76"/>
    </row>
    <row r="1738" spans="2:5" ht="15" x14ac:dyDescent="0.2">
      <c r="B1738" s="7"/>
      <c r="C1738" s="19"/>
      <c r="D1738" s="82"/>
      <c r="E1738" s="76"/>
    </row>
    <row r="1739" spans="2:5" ht="15" x14ac:dyDescent="0.2">
      <c r="B1739" s="7"/>
      <c r="C1739" s="19"/>
      <c r="D1739" s="82"/>
      <c r="E1739" s="76"/>
    </row>
    <row r="1740" spans="2:5" ht="15" x14ac:dyDescent="0.2">
      <c r="B1740" s="7"/>
      <c r="C1740" s="19"/>
      <c r="D1740" s="82"/>
      <c r="E1740" s="76"/>
    </row>
    <row r="1741" spans="2:5" ht="15" x14ac:dyDescent="0.2">
      <c r="B1741" s="7"/>
      <c r="C1741" s="19"/>
      <c r="D1741" s="82"/>
      <c r="E1741" s="76"/>
    </row>
    <row r="1742" spans="2:5" ht="15" x14ac:dyDescent="0.2">
      <c r="B1742" s="7"/>
      <c r="C1742" s="19"/>
      <c r="D1742" s="82"/>
      <c r="E1742" s="76"/>
    </row>
    <row r="1743" spans="2:5" ht="15" x14ac:dyDescent="0.2">
      <c r="B1743" s="7"/>
      <c r="C1743" s="19"/>
      <c r="D1743" s="82"/>
      <c r="E1743" s="76"/>
    </row>
    <row r="1744" spans="2:5" ht="15" x14ac:dyDescent="0.2">
      <c r="B1744" s="7"/>
      <c r="C1744" s="19"/>
      <c r="D1744" s="82"/>
      <c r="E1744" s="76"/>
    </row>
    <row r="1745" spans="2:5" ht="15" x14ac:dyDescent="0.2">
      <c r="B1745" s="7"/>
      <c r="C1745" s="19"/>
      <c r="D1745" s="82"/>
      <c r="E1745" s="76"/>
    </row>
    <row r="1746" spans="2:5" ht="15" x14ac:dyDescent="0.2">
      <c r="B1746" s="7"/>
      <c r="C1746" s="19"/>
      <c r="D1746" s="82"/>
      <c r="E1746" s="76"/>
    </row>
    <row r="1747" spans="2:5" ht="15" x14ac:dyDescent="0.2">
      <c r="B1747" s="7"/>
      <c r="C1747" s="19"/>
      <c r="D1747" s="82"/>
      <c r="E1747" s="76"/>
    </row>
    <row r="1748" spans="2:5" ht="15" x14ac:dyDescent="0.2">
      <c r="B1748" s="7"/>
      <c r="C1748" s="19"/>
      <c r="D1748" s="82"/>
      <c r="E1748" s="76"/>
    </row>
    <row r="1749" spans="2:5" ht="15" x14ac:dyDescent="0.2">
      <c r="B1749" s="7"/>
      <c r="C1749" s="19"/>
      <c r="D1749" s="82"/>
      <c r="E1749" s="76"/>
    </row>
    <row r="1750" spans="2:5" ht="15" x14ac:dyDescent="0.2">
      <c r="B1750" s="7"/>
      <c r="C1750" s="19"/>
      <c r="D1750" s="82"/>
      <c r="E1750" s="76"/>
    </row>
    <row r="1751" spans="2:5" ht="15" x14ac:dyDescent="0.2">
      <c r="B1751" s="7"/>
      <c r="C1751" s="19"/>
      <c r="D1751" s="82"/>
      <c r="E1751" s="76"/>
    </row>
    <row r="1752" spans="2:5" ht="15" x14ac:dyDescent="0.2">
      <c r="B1752" s="7"/>
      <c r="C1752" s="19"/>
      <c r="D1752" s="82"/>
      <c r="E1752" s="76"/>
    </row>
    <row r="1753" spans="2:5" ht="15" x14ac:dyDescent="0.2">
      <c r="B1753" s="7"/>
      <c r="C1753" s="19"/>
      <c r="D1753" s="82"/>
      <c r="E1753" s="76"/>
    </row>
    <row r="1754" spans="2:5" ht="15" x14ac:dyDescent="0.2">
      <c r="B1754" s="7"/>
      <c r="C1754" s="19"/>
      <c r="D1754" s="82"/>
      <c r="E1754" s="76"/>
    </row>
    <row r="1755" spans="2:5" ht="15" x14ac:dyDescent="0.2">
      <c r="B1755" s="7"/>
      <c r="C1755" s="19"/>
      <c r="D1755" s="82"/>
      <c r="E1755" s="76"/>
    </row>
    <row r="1756" spans="2:5" ht="15" x14ac:dyDescent="0.2">
      <c r="B1756" s="7"/>
      <c r="C1756" s="19"/>
      <c r="D1756" s="82"/>
      <c r="E1756" s="76"/>
    </row>
    <row r="1757" spans="2:5" ht="15" x14ac:dyDescent="0.2">
      <c r="B1757" s="7"/>
      <c r="C1757" s="19"/>
      <c r="D1757" s="82"/>
      <c r="E1757" s="76"/>
    </row>
    <row r="1758" spans="2:5" ht="15" x14ac:dyDescent="0.2">
      <c r="B1758" s="7"/>
      <c r="C1758" s="19"/>
      <c r="D1758" s="82"/>
      <c r="E1758" s="76"/>
    </row>
    <row r="1759" spans="2:5" ht="15" x14ac:dyDescent="0.2">
      <c r="B1759" s="7"/>
      <c r="C1759" s="19"/>
      <c r="D1759" s="82"/>
      <c r="E1759" s="76"/>
    </row>
    <row r="1760" spans="2:5" ht="15" x14ac:dyDescent="0.2">
      <c r="B1760" s="7"/>
      <c r="C1760" s="19"/>
      <c r="D1760" s="82"/>
      <c r="E1760" s="76"/>
    </row>
    <row r="1761" spans="2:5" ht="15" x14ac:dyDescent="0.2">
      <c r="B1761" s="7"/>
      <c r="C1761" s="19"/>
      <c r="D1761" s="82"/>
      <c r="E1761" s="76"/>
    </row>
    <row r="1762" spans="2:5" ht="15" x14ac:dyDescent="0.2">
      <c r="B1762" s="7"/>
      <c r="C1762" s="19"/>
      <c r="D1762" s="82"/>
      <c r="E1762" s="76"/>
    </row>
    <row r="1763" spans="2:5" ht="15" x14ac:dyDescent="0.2">
      <c r="B1763" s="7"/>
      <c r="C1763" s="19"/>
      <c r="D1763" s="82"/>
      <c r="E1763" s="76"/>
    </row>
    <row r="1764" spans="2:5" ht="15" x14ac:dyDescent="0.2">
      <c r="B1764" s="7"/>
      <c r="C1764" s="19"/>
      <c r="D1764" s="82"/>
      <c r="E1764" s="76"/>
    </row>
    <row r="1765" spans="2:5" ht="15" x14ac:dyDescent="0.2">
      <c r="B1765" s="7"/>
      <c r="C1765" s="19"/>
      <c r="D1765" s="82"/>
      <c r="E1765" s="76"/>
    </row>
    <row r="1766" spans="2:5" ht="15" x14ac:dyDescent="0.2">
      <c r="B1766" s="7"/>
      <c r="C1766" s="19"/>
      <c r="D1766" s="82"/>
      <c r="E1766" s="76"/>
    </row>
    <row r="1767" spans="2:5" ht="15" x14ac:dyDescent="0.2">
      <c r="B1767" s="7"/>
      <c r="C1767" s="19"/>
      <c r="D1767" s="82"/>
      <c r="E1767" s="76"/>
    </row>
    <row r="1768" spans="2:5" ht="15" x14ac:dyDescent="0.2">
      <c r="B1768" s="7"/>
      <c r="C1768" s="19"/>
      <c r="D1768" s="82"/>
      <c r="E1768" s="76"/>
    </row>
    <row r="1769" spans="2:5" ht="15" x14ac:dyDescent="0.2">
      <c r="B1769" s="7"/>
      <c r="C1769" s="19"/>
      <c r="D1769" s="82"/>
      <c r="E1769" s="76"/>
    </row>
    <row r="1770" spans="2:5" ht="15" x14ac:dyDescent="0.2">
      <c r="B1770" s="7"/>
      <c r="C1770" s="19"/>
      <c r="D1770" s="82"/>
      <c r="E1770" s="76"/>
    </row>
    <row r="1771" spans="2:5" ht="15" x14ac:dyDescent="0.2">
      <c r="B1771" s="7"/>
      <c r="C1771" s="19"/>
      <c r="D1771" s="82"/>
      <c r="E1771" s="76"/>
    </row>
    <row r="1772" spans="2:5" ht="15" x14ac:dyDescent="0.2">
      <c r="B1772" s="7"/>
      <c r="C1772" s="19"/>
      <c r="D1772" s="82"/>
      <c r="E1772" s="76"/>
    </row>
    <row r="1773" spans="2:5" ht="15" x14ac:dyDescent="0.2">
      <c r="B1773" s="7"/>
      <c r="C1773" s="19"/>
      <c r="D1773" s="82"/>
      <c r="E1773" s="76"/>
    </row>
    <row r="1774" spans="2:5" ht="15" x14ac:dyDescent="0.2">
      <c r="B1774" s="7"/>
      <c r="C1774" s="19"/>
      <c r="D1774" s="82"/>
      <c r="E1774" s="76"/>
    </row>
    <row r="1775" spans="2:5" ht="15" x14ac:dyDescent="0.2">
      <c r="B1775" s="7"/>
      <c r="C1775" s="19"/>
      <c r="D1775" s="82"/>
      <c r="E1775" s="76"/>
    </row>
    <row r="1776" spans="2:5" ht="15" x14ac:dyDescent="0.2">
      <c r="B1776" s="7"/>
      <c r="C1776" s="19"/>
      <c r="D1776" s="82"/>
      <c r="E1776" s="76"/>
    </row>
    <row r="1777" spans="2:5" ht="15" x14ac:dyDescent="0.2">
      <c r="B1777" s="7"/>
      <c r="C1777" s="19"/>
      <c r="D1777" s="82"/>
      <c r="E1777" s="76"/>
    </row>
    <row r="1778" spans="2:5" ht="15" x14ac:dyDescent="0.2">
      <c r="B1778" s="7"/>
      <c r="C1778" s="19"/>
      <c r="D1778" s="82"/>
      <c r="E1778" s="76"/>
    </row>
    <row r="1779" spans="2:5" ht="15" x14ac:dyDescent="0.2">
      <c r="B1779" s="7"/>
      <c r="C1779" s="19"/>
      <c r="D1779" s="82"/>
      <c r="E1779" s="76"/>
    </row>
    <row r="1780" spans="2:5" ht="15" x14ac:dyDescent="0.2">
      <c r="B1780" s="7"/>
      <c r="C1780" s="19"/>
      <c r="D1780" s="82"/>
      <c r="E1780" s="76"/>
    </row>
    <row r="1781" spans="2:5" ht="15" x14ac:dyDescent="0.2">
      <c r="B1781" s="7"/>
      <c r="C1781" s="19"/>
      <c r="D1781" s="82"/>
      <c r="E1781" s="76"/>
    </row>
    <row r="1782" spans="2:5" ht="15" x14ac:dyDescent="0.2">
      <c r="B1782" s="7"/>
      <c r="C1782" s="19"/>
      <c r="D1782" s="82"/>
      <c r="E1782" s="76"/>
    </row>
    <row r="1783" spans="2:5" ht="15" x14ac:dyDescent="0.2">
      <c r="B1783" s="7"/>
      <c r="C1783" s="19"/>
      <c r="D1783" s="82"/>
      <c r="E1783" s="76"/>
    </row>
    <row r="1784" spans="2:5" ht="15" x14ac:dyDescent="0.2">
      <c r="B1784" s="7"/>
      <c r="C1784" s="19"/>
      <c r="D1784" s="82"/>
      <c r="E1784" s="76"/>
    </row>
    <row r="1785" spans="2:5" ht="15" x14ac:dyDescent="0.2">
      <c r="B1785" s="7"/>
      <c r="C1785" s="19"/>
      <c r="D1785" s="82"/>
      <c r="E1785" s="76"/>
    </row>
    <row r="1786" spans="2:5" ht="15" x14ac:dyDescent="0.2">
      <c r="B1786" s="7"/>
      <c r="C1786" s="19"/>
      <c r="D1786" s="82"/>
      <c r="E1786" s="76"/>
    </row>
    <row r="1787" spans="2:5" ht="15" x14ac:dyDescent="0.2">
      <c r="B1787" s="7"/>
      <c r="C1787" s="19"/>
      <c r="D1787" s="82"/>
      <c r="E1787" s="76"/>
    </row>
    <row r="1788" spans="2:5" ht="15" x14ac:dyDescent="0.2">
      <c r="B1788" s="7"/>
      <c r="C1788" s="19"/>
      <c r="D1788" s="82"/>
      <c r="E1788" s="76"/>
    </row>
    <row r="1789" spans="2:5" ht="15" x14ac:dyDescent="0.2">
      <c r="B1789" s="7"/>
      <c r="C1789" s="19"/>
      <c r="D1789" s="82"/>
      <c r="E1789" s="76"/>
    </row>
    <row r="1790" spans="2:5" ht="15" x14ac:dyDescent="0.2">
      <c r="B1790" s="7"/>
      <c r="C1790" s="19"/>
      <c r="D1790" s="82"/>
      <c r="E1790" s="76"/>
    </row>
    <row r="1791" spans="2:5" ht="15" x14ac:dyDescent="0.2">
      <c r="B1791" s="7"/>
      <c r="C1791" s="19"/>
      <c r="D1791" s="82"/>
      <c r="E1791" s="76"/>
    </row>
    <row r="1792" spans="2:5" ht="15" x14ac:dyDescent="0.2">
      <c r="B1792" s="7"/>
      <c r="C1792" s="19"/>
      <c r="D1792" s="82"/>
      <c r="E1792" s="76"/>
    </row>
    <row r="1793" spans="2:5" ht="15" x14ac:dyDescent="0.2">
      <c r="B1793" s="7"/>
      <c r="C1793" s="19"/>
      <c r="D1793" s="82"/>
      <c r="E1793" s="76"/>
    </row>
    <row r="1794" spans="2:5" ht="15" x14ac:dyDescent="0.2">
      <c r="B1794" s="7"/>
      <c r="C1794" s="19"/>
      <c r="D1794" s="82"/>
      <c r="E1794" s="76"/>
    </row>
    <row r="1795" spans="2:5" ht="15" x14ac:dyDescent="0.2">
      <c r="B1795" s="7"/>
      <c r="C1795" s="19"/>
      <c r="D1795" s="82"/>
      <c r="E1795" s="76"/>
    </row>
    <row r="1796" spans="2:5" ht="15" x14ac:dyDescent="0.2">
      <c r="B1796" s="7"/>
      <c r="C1796" s="19"/>
      <c r="D1796" s="82"/>
      <c r="E1796" s="76"/>
    </row>
    <row r="1797" spans="2:5" ht="15" x14ac:dyDescent="0.2">
      <c r="B1797" s="7"/>
      <c r="C1797" s="19"/>
      <c r="D1797" s="82"/>
      <c r="E1797" s="76"/>
    </row>
    <row r="1798" spans="2:5" ht="15" x14ac:dyDescent="0.2">
      <c r="B1798" s="7"/>
      <c r="C1798" s="19"/>
      <c r="D1798" s="82"/>
      <c r="E1798" s="76"/>
    </row>
    <row r="1799" spans="2:5" ht="15" x14ac:dyDescent="0.2">
      <c r="B1799" s="7"/>
      <c r="C1799" s="19"/>
      <c r="D1799" s="82"/>
      <c r="E1799" s="76"/>
    </row>
    <row r="1800" spans="2:5" ht="15" x14ac:dyDescent="0.2">
      <c r="B1800" s="7"/>
      <c r="C1800" s="19"/>
      <c r="D1800" s="82"/>
      <c r="E1800" s="76"/>
    </row>
    <row r="1801" spans="2:5" ht="15" x14ac:dyDescent="0.2">
      <c r="B1801" s="7"/>
      <c r="C1801" s="19"/>
      <c r="D1801" s="82"/>
      <c r="E1801" s="76"/>
    </row>
    <row r="1802" spans="2:5" ht="15" x14ac:dyDescent="0.2">
      <c r="B1802" s="7"/>
      <c r="C1802" s="19"/>
      <c r="D1802" s="82"/>
      <c r="E1802" s="76"/>
    </row>
    <row r="1803" spans="2:5" ht="15" x14ac:dyDescent="0.2">
      <c r="B1803" s="7"/>
      <c r="C1803" s="19"/>
      <c r="D1803" s="82"/>
      <c r="E1803" s="76"/>
    </row>
    <row r="1804" spans="2:5" ht="15" x14ac:dyDescent="0.2">
      <c r="B1804" s="7"/>
      <c r="C1804" s="19"/>
      <c r="D1804" s="82"/>
      <c r="E1804" s="76"/>
    </row>
    <row r="1805" spans="2:5" ht="15" x14ac:dyDescent="0.2">
      <c r="B1805" s="7"/>
      <c r="C1805" s="19"/>
      <c r="D1805" s="82"/>
      <c r="E1805" s="76"/>
    </row>
    <row r="1806" spans="2:5" ht="15" x14ac:dyDescent="0.2">
      <c r="B1806" s="7"/>
      <c r="C1806" s="19"/>
      <c r="D1806" s="82"/>
      <c r="E1806" s="76"/>
    </row>
    <row r="1807" spans="2:5" ht="15" x14ac:dyDescent="0.2">
      <c r="B1807" s="7"/>
      <c r="C1807" s="19"/>
      <c r="D1807" s="82"/>
      <c r="E1807" s="76"/>
    </row>
    <row r="1808" spans="2:5" ht="15" x14ac:dyDescent="0.2">
      <c r="B1808" s="7"/>
      <c r="C1808" s="19"/>
      <c r="D1808" s="82"/>
      <c r="E1808" s="76"/>
    </row>
    <row r="1809" spans="1:5" ht="15" x14ac:dyDescent="0.2">
      <c r="B1809" s="7"/>
      <c r="C1809" s="19"/>
      <c r="D1809" s="82"/>
      <c r="E1809" s="76"/>
    </row>
    <row r="1810" spans="1:5" ht="15" x14ac:dyDescent="0.2">
      <c r="A1810" s="53" t="s">
        <v>2437</v>
      </c>
      <c r="B1810" s="7" t="s">
        <v>686</v>
      </c>
      <c r="C1810" s="19" t="s">
        <v>3</v>
      </c>
      <c r="D1810" s="82">
        <v>59500</v>
      </c>
      <c r="E1810" s="76">
        <f t="shared" si="11"/>
        <v>59515</v>
      </c>
    </row>
    <row r="1811" spans="1:5" ht="15" x14ac:dyDescent="0.2">
      <c r="B1811" s="7" t="s">
        <v>688</v>
      </c>
      <c r="C1811" s="19" t="s">
        <v>3</v>
      </c>
      <c r="D1811" s="82">
        <v>31500</v>
      </c>
      <c r="E1811" s="76">
        <f t="shared" si="11"/>
        <v>31515</v>
      </c>
    </row>
    <row r="1812" spans="1:5" ht="15" x14ac:dyDescent="0.2">
      <c r="B1812" s="7" t="s">
        <v>690</v>
      </c>
      <c r="C1812" s="19" t="s">
        <v>600</v>
      </c>
      <c r="D1812" s="82">
        <v>9000</v>
      </c>
      <c r="E1812" s="76">
        <f t="shared" si="11"/>
        <v>9015</v>
      </c>
    </row>
    <row r="1813" spans="1:5" ht="15" x14ac:dyDescent="0.2">
      <c r="B1813" s="7" t="s">
        <v>692</v>
      </c>
      <c r="C1813" s="20" t="s">
        <v>12</v>
      </c>
      <c r="D1813" s="82">
        <v>10700</v>
      </c>
      <c r="E1813" s="76">
        <f t="shared" si="11"/>
        <v>10715</v>
      </c>
    </row>
    <row r="1814" spans="1:5" ht="15" x14ac:dyDescent="0.2">
      <c r="B1814" s="7" t="s">
        <v>694</v>
      </c>
      <c r="C1814" s="19" t="s">
        <v>6</v>
      </c>
      <c r="D1814" s="82">
        <v>62000</v>
      </c>
      <c r="E1814" s="76">
        <f t="shared" si="11"/>
        <v>62015</v>
      </c>
    </row>
    <row r="1815" spans="1:5" ht="15" x14ac:dyDescent="0.2">
      <c r="B1815" s="7" t="s">
        <v>696</v>
      </c>
      <c r="C1815" s="19" t="s">
        <v>6</v>
      </c>
      <c r="D1815" s="82">
        <v>56000</v>
      </c>
      <c r="E1815" s="76">
        <f t="shared" si="11"/>
        <v>56015</v>
      </c>
    </row>
    <row r="1816" spans="1:5" ht="15" x14ac:dyDescent="0.2">
      <c r="B1816" s="7" t="s">
        <v>698</v>
      </c>
      <c r="C1816" s="20" t="s">
        <v>12</v>
      </c>
      <c r="D1816" s="82">
        <v>15500</v>
      </c>
      <c r="E1816" s="76">
        <f t="shared" si="11"/>
        <v>15515</v>
      </c>
    </row>
    <row r="1817" spans="1:5" ht="15" x14ac:dyDescent="0.2">
      <c r="B1817" s="7" t="s">
        <v>700</v>
      </c>
      <c r="C1817" s="19" t="s">
        <v>6</v>
      </c>
      <c r="D1817" s="82">
        <v>206000</v>
      </c>
      <c r="E1817" s="76">
        <f t="shared" si="11"/>
        <v>206015</v>
      </c>
    </row>
    <row r="1818" spans="1:5" ht="15" x14ac:dyDescent="0.2">
      <c r="B1818" s="7" t="s">
        <v>702</v>
      </c>
      <c r="C1818" s="19" t="s">
        <v>6</v>
      </c>
      <c r="D1818" s="82">
        <v>149000</v>
      </c>
      <c r="E1818" s="76">
        <f t="shared" si="11"/>
        <v>149015</v>
      </c>
    </row>
    <row r="1819" spans="1:5" ht="15" x14ac:dyDescent="0.2">
      <c r="B1819" s="7" t="s">
        <v>704</v>
      </c>
      <c r="C1819" s="19" t="s">
        <v>6</v>
      </c>
      <c r="D1819" s="82">
        <v>88000</v>
      </c>
      <c r="E1819" s="76">
        <f t="shared" si="11"/>
        <v>88015</v>
      </c>
    </row>
    <row r="1820" spans="1:5" ht="15" x14ac:dyDescent="0.2">
      <c r="B1820" s="7" t="s">
        <v>706</v>
      </c>
      <c r="C1820" s="19" t="s">
        <v>6</v>
      </c>
      <c r="D1820" s="82">
        <v>174000</v>
      </c>
      <c r="E1820" s="76">
        <f t="shared" si="11"/>
        <v>174015</v>
      </c>
    </row>
    <row r="1821" spans="1:5" ht="15" x14ac:dyDescent="0.2">
      <c r="B1821" s="7" t="s">
        <v>708</v>
      </c>
      <c r="C1821" s="19" t="s">
        <v>6</v>
      </c>
      <c r="D1821" s="82">
        <v>40000</v>
      </c>
      <c r="E1821" s="76">
        <f t="shared" si="11"/>
        <v>40015</v>
      </c>
    </row>
    <row r="1822" spans="1:5" ht="15" x14ac:dyDescent="0.2">
      <c r="B1822" s="7" t="s">
        <v>710</v>
      </c>
      <c r="C1822" s="19" t="s">
        <v>6</v>
      </c>
      <c r="D1822" s="82">
        <v>29000</v>
      </c>
      <c r="E1822" s="76">
        <f t="shared" si="11"/>
        <v>29015</v>
      </c>
    </row>
    <row r="1823" spans="1:5" ht="15" x14ac:dyDescent="0.2">
      <c r="B1823" s="7" t="s">
        <v>712</v>
      </c>
      <c r="C1823" s="19" t="s">
        <v>3</v>
      </c>
      <c r="D1823" s="82">
        <v>500000</v>
      </c>
      <c r="E1823" s="76">
        <f t="shared" si="11"/>
        <v>500015</v>
      </c>
    </row>
    <row r="1824" spans="1:5" ht="15" x14ac:dyDescent="0.2">
      <c r="B1824" s="7" t="s">
        <v>714</v>
      </c>
      <c r="C1824" s="19" t="s">
        <v>715</v>
      </c>
      <c r="D1824" s="82">
        <v>268000</v>
      </c>
      <c r="E1824" s="76">
        <f t="shared" si="11"/>
        <v>268015</v>
      </c>
    </row>
    <row r="1825" spans="2:5" ht="15" x14ac:dyDescent="0.2">
      <c r="B1825" s="7" t="s">
        <v>717</v>
      </c>
      <c r="C1825" s="19" t="s">
        <v>3</v>
      </c>
      <c r="D1825" s="82">
        <v>32000</v>
      </c>
      <c r="E1825" s="76">
        <f t="shared" si="11"/>
        <v>32015</v>
      </c>
    </row>
    <row r="1826" spans="2:5" ht="15" x14ac:dyDescent="0.2">
      <c r="B1826" s="7" t="s">
        <v>719</v>
      </c>
      <c r="C1826" s="19" t="s">
        <v>3</v>
      </c>
      <c r="D1826" s="82">
        <v>62500</v>
      </c>
      <c r="E1826" s="76">
        <f t="shared" si="11"/>
        <v>62515</v>
      </c>
    </row>
    <row r="1827" spans="2:5" ht="15" x14ac:dyDescent="0.2">
      <c r="B1827" s="7" t="s">
        <v>721</v>
      </c>
      <c r="C1827" s="19" t="s">
        <v>6</v>
      </c>
      <c r="D1827" s="82">
        <v>233000</v>
      </c>
      <c r="E1827" s="76">
        <f t="shared" si="11"/>
        <v>233015</v>
      </c>
    </row>
    <row r="1828" spans="2:5" ht="15" x14ac:dyDescent="0.2">
      <c r="B1828" s="7" t="s">
        <v>723</v>
      </c>
      <c r="C1828" s="19" t="s">
        <v>3</v>
      </c>
      <c r="D1828" s="82">
        <v>17300</v>
      </c>
      <c r="E1828" s="76">
        <f t="shared" si="11"/>
        <v>17315</v>
      </c>
    </row>
    <row r="1829" spans="2:5" ht="15" x14ac:dyDescent="0.2">
      <c r="B1829" s="7" t="s">
        <v>725</v>
      </c>
      <c r="C1829" s="19" t="s">
        <v>6</v>
      </c>
      <c r="D1829" s="82">
        <v>4600</v>
      </c>
      <c r="E1829" s="76">
        <f t="shared" si="11"/>
        <v>4615</v>
      </c>
    </row>
    <row r="1830" spans="2:5" ht="15" x14ac:dyDescent="0.2">
      <c r="B1830" s="7" t="s">
        <v>727</v>
      </c>
      <c r="C1830" s="19" t="s">
        <v>6</v>
      </c>
      <c r="D1830" s="82">
        <v>40000</v>
      </c>
      <c r="E1830" s="76">
        <f t="shared" si="11"/>
        <v>40015</v>
      </c>
    </row>
    <row r="1831" spans="2:5" ht="15" x14ac:dyDescent="0.2">
      <c r="B1831" s="7" t="s">
        <v>729</v>
      </c>
      <c r="C1831" s="19" t="s">
        <v>6</v>
      </c>
      <c r="D1831" s="82">
        <v>16500</v>
      </c>
      <c r="E1831" s="76">
        <f t="shared" si="11"/>
        <v>16515</v>
      </c>
    </row>
    <row r="1832" spans="2:5" ht="15" x14ac:dyDescent="0.2">
      <c r="B1832" s="7" t="s">
        <v>731</v>
      </c>
      <c r="C1832" s="19" t="s">
        <v>6</v>
      </c>
      <c r="D1832" s="82">
        <v>18000</v>
      </c>
      <c r="E1832" s="76">
        <f t="shared" si="11"/>
        <v>18015</v>
      </c>
    </row>
    <row r="1833" spans="2:5" ht="15" x14ac:dyDescent="0.2">
      <c r="B1833" s="7" t="s">
        <v>733</v>
      </c>
      <c r="C1833" s="19" t="s">
        <v>6</v>
      </c>
      <c r="D1833" s="82">
        <v>14500</v>
      </c>
      <c r="E1833" s="76">
        <f t="shared" si="11"/>
        <v>14515</v>
      </c>
    </row>
    <row r="1834" spans="2:5" ht="15" x14ac:dyDescent="0.2">
      <c r="B1834" s="7" t="s">
        <v>735</v>
      </c>
      <c r="C1834" s="19" t="s">
        <v>3</v>
      </c>
      <c r="D1834" s="82">
        <v>42000</v>
      </c>
      <c r="E1834" s="76">
        <f t="shared" si="11"/>
        <v>42015</v>
      </c>
    </row>
    <row r="1835" spans="2:5" ht="15" x14ac:dyDescent="0.2">
      <c r="B1835" s="7" t="s">
        <v>737</v>
      </c>
      <c r="C1835" s="19" t="s">
        <v>6</v>
      </c>
      <c r="D1835" s="82">
        <v>19000</v>
      </c>
      <c r="E1835" s="76">
        <f t="shared" si="11"/>
        <v>19015</v>
      </c>
    </row>
    <row r="1836" spans="2:5" ht="15" x14ac:dyDescent="0.2">
      <c r="B1836" s="7" t="s">
        <v>739</v>
      </c>
      <c r="C1836" s="19" t="s">
        <v>6</v>
      </c>
      <c r="D1836" s="82">
        <v>18000</v>
      </c>
      <c r="E1836" s="76">
        <f t="shared" si="11"/>
        <v>18015</v>
      </c>
    </row>
    <row r="1837" spans="2:5" ht="15" x14ac:dyDescent="0.2">
      <c r="B1837" s="7" t="s">
        <v>741</v>
      </c>
      <c r="C1837" s="19" t="s">
        <v>3</v>
      </c>
      <c r="D1837" s="82">
        <v>52000</v>
      </c>
      <c r="E1837" s="76">
        <f t="shared" si="11"/>
        <v>52015</v>
      </c>
    </row>
    <row r="1838" spans="2:5" ht="15" x14ac:dyDescent="0.2">
      <c r="B1838" s="7" t="s">
        <v>743</v>
      </c>
      <c r="C1838" s="19" t="s">
        <v>6</v>
      </c>
      <c r="D1838" s="82">
        <v>25000</v>
      </c>
      <c r="E1838" s="76">
        <f t="shared" si="11"/>
        <v>25015</v>
      </c>
    </row>
    <row r="1839" spans="2:5" ht="15" x14ac:dyDescent="0.2">
      <c r="B1839" s="7" t="s">
        <v>745</v>
      </c>
      <c r="C1839" s="19" t="s">
        <v>6</v>
      </c>
      <c r="D1839" s="82">
        <v>43000</v>
      </c>
      <c r="E1839" s="76">
        <f t="shared" si="11"/>
        <v>43015</v>
      </c>
    </row>
    <row r="1840" spans="2:5" ht="15" x14ac:dyDescent="0.2">
      <c r="B1840" s="7" t="s">
        <v>747</v>
      </c>
      <c r="C1840" s="19" t="s">
        <v>323</v>
      </c>
      <c r="D1840" s="83">
        <v>70000</v>
      </c>
      <c r="E1840" s="76">
        <f t="shared" si="11"/>
        <v>70015</v>
      </c>
    </row>
    <row r="1841" spans="2:5" ht="15" x14ac:dyDescent="0.2">
      <c r="B1841" s="7" t="s">
        <v>748</v>
      </c>
      <c r="C1841" s="7" t="s">
        <v>6</v>
      </c>
      <c r="D1841" s="80">
        <v>38000</v>
      </c>
      <c r="E1841" s="76">
        <f t="shared" si="11"/>
        <v>38015</v>
      </c>
    </row>
    <row r="1842" spans="2:5" ht="15" x14ac:dyDescent="0.2">
      <c r="B1842" s="7" t="s">
        <v>750</v>
      </c>
      <c r="C1842" s="7" t="s">
        <v>6</v>
      </c>
      <c r="D1842" s="80">
        <v>15000</v>
      </c>
      <c r="E1842" s="76">
        <f t="shared" si="11"/>
        <v>15015</v>
      </c>
    </row>
    <row r="1843" spans="2:5" ht="15" x14ac:dyDescent="0.2">
      <c r="B1843" s="7" t="s">
        <v>752</v>
      </c>
      <c r="C1843" s="7" t="s">
        <v>37</v>
      </c>
      <c r="D1843" s="80">
        <v>65000</v>
      </c>
      <c r="E1843" s="76">
        <f t="shared" si="11"/>
        <v>65015</v>
      </c>
    </row>
    <row r="1844" spans="2:5" ht="15" x14ac:dyDescent="0.2">
      <c r="B1844" s="7" t="s">
        <v>754</v>
      </c>
      <c r="C1844" s="7" t="s">
        <v>6</v>
      </c>
      <c r="D1844" s="80">
        <v>48000</v>
      </c>
      <c r="E1844" s="76">
        <f t="shared" si="11"/>
        <v>48015</v>
      </c>
    </row>
    <row r="1845" spans="2:5" ht="15" x14ac:dyDescent="0.2">
      <c r="B1845" s="7" t="s">
        <v>756</v>
      </c>
      <c r="C1845" s="7" t="s">
        <v>12</v>
      </c>
      <c r="D1845" s="80">
        <v>19000</v>
      </c>
      <c r="E1845" s="76">
        <f t="shared" si="11"/>
        <v>19015</v>
      </c>
    </row>
    <row r="1846" spans="2:5" ht="15" x14ac:dyDescent="0.2">
      <c r="B1846" s="7"/>
      <c r="C1846" s="7"/>
      <c r="D1846" s="80"/>
      <c r="E1846" s="76"/>
    </row>
    <row r="1847" spans="2:5" ht="15" x14ac:dyDescent="0.2">
      <c r="B1847" s="7"/>
      <c r="C1847" s="7"/>
      <c r="D1847" s="80"/>
      <c r="E1847" s="76"/>
    </row>
    <row r="1848" spans="2:5" ht="15" x14ac:dyDescent="0.2">
      <c r="B1848" s="7"/>
      <c r="C1848" s="7"/>
      <c r="D1848" s="80"/>
      <c r="E1848" s="76"/>
    </row>
    <row r="1849" spans="2:5" ht="15" x14ac:dyDescent="0.2">
      <c r="B1849" s="7"/>
      <c r="C1849" s="7"/>
      <c r="D1849" s="80"/>
      <c r="E1849" s="76"/>
    </row>
    <row r="1850" spans="2:5" ht="15" x14ac:dyDescent="0.2">
      <c r="B1850" s="7"/>
      <c r="C1850" s="7"/>
      <c r="D1850" s="80"/>
      <c r="E1850" s="76"/>
    </row>
    <row r="1851" spans="2:5" ht="15" x14ac:dyDescent="0.2">
      <c r="B1851" s="7"/>
      <c r="C1851" s="7"/>
      <c r="D1851" s="80"/>
      <c r="E1851" s="76"/>
    </row>
    <row r="1852" spans="2:5" ht="15" x14ac:dyDescent="0.2">
      <c r="B1852" s="7"/>
      <c r="C1852" s="7"/>
      <c r="D1852" s="80"/>
      <c r="E1852" s="76"/>
    </row>
    <row r="1853" spans="2:5" ht="15" x14ac:dyDescent="0.2">
      <c r="B1853" s="7"/>
      <c r="C1853" s="7"/>
      <c r="D1853" s="80"/>
      <c r="E1853" s="76"/>
    </row>
    <row r="1854" spans="2:5" ht="15" x14ac:dyDescent="0.2">
      <c r="B1854" s="7"/>
      <c r="C1854" s="7"/>
      <c r="D1854" s="80"/>
      <c r="E1854" s="76"/>
    </row>
    <row r="1855" spans="2:5" ht="15" x14ac:dyDescent="0.2">
      <c r="B1855" s="7"/>
      <c r="C1855" s="7"/>
      <c r="D1855" s="80"/>
      <c r="E1855" s="76"/>
    </row>
    <row r="1856" spans="2:5" ht="15" x14ac:dyDescent="0.2">
      <c r="B1856" s="7"/>
      <c r="C1856" s="7"/>
      <c r="D1856" s="80"/>
      <c r="E1856" s="76"/>
    </row>
    <row r="1857" spans="2:5" ht="15" x14ac:dyDescent="0.2">
      <c r="B1857" s="7"/>
      <c r="C1857" s="7"/>
      <c r="D1857" s="80"/>
      <c r="E1857" s="76"/>
    </row>
    <row r="1858" spans="2:5" ht="15" x14ac:dyDescent="0.2">
      <c r="B1858" s="7"/>
      <c r="C1858" s="7"/>
      <c r="D1858" s="80"/>
      <c r="E1858" s="76"/>
    </row>
    <row r="1859" spans="2:5" ht="15" x14ac:dyDescent="0.2">
      <c r="B1859" s="7"/>
      <c r="C1859" s="7"/>
      <c r="D1859" s="80"/>
      <c r="E1859" s="76"/>
    </row>
    <row r="1860" spans="2:5" ht="15" x14ac:dyDescent="0.2">
      <c r="B1860" s="7"/>
      <c r="C1860" s="7"/>
      <c r="D1860" s="80"/>
      <c r="E1860" s="76"/>
    </row>
    <row r="1861" spans="2:5" ht="15" x14ac:dyDescent="0.2">
      <c r="B1861" s="7"/>
      <c r="C1861" s="7"/>
      <c r="D1861" s="80"/>
      <c r="E1861" s="76"/>
    </row>
    <row r="1862" spans="2:5" ht="15" x14ac:dyDescent="0.2">
      <c r="B1862" s="7"/>
      <c r="C1862" s="7"/>
      <c r="D1862" s="80"/>
      <c r="E1862" s="76"/>
    </row>
    <row r="1863" spans="2:5" ht="15" x14ac:dyDescent="0.2">
      <c r="B1863" s="7"/>
      <c r="C1863" s="7"/>
      <c r="D1863" s="80"/>
      <c r="E1863" s="76"/>
    </row>
    <row r="1864" spans="2:5" ht="15" x14ac:dyDescent="0.2">
      <c r="B1864" s="7"/>
      <c r="C1864" s="7"/>
      <c r="D1864" s="80"/>
      <c r="E1864" s="76"/>
    </row>
    <row r="1865" spans="2:5" ht="15" x14ac:dyDescent="0.2">
      <c r="B1865" s="7"/>
      <c r="C1865" s="7"/>
      <c r="D1865" s="80"/>
      <c r="E1865" s="76"/>
    </row>
    <row r="1866" spans="2:5" ht="15" x14ac:dyDescent="0.2">
      <c r="B1866" s="7"/>
      <c r="C1866" s="7"/>
      <c r="D1866" s="80"/>
      <c r="E1866" s="76"/>
    </row>
    <row r="1867" spans="2:5" ht="15" x14ac:dyDescent="0.2">
      <c r="B1867" s="7"/>
      <c r="C1867" s="7"/>
      <c r="D1867" s="80"/>
      <c r="E1867" s="76"/>
    </row>
    <row r="1868" spans="2:5" ht="15" x14ac:dyDescent="0.2">
      <c r="B1868" s="7"/>
      <c r="C1868" s="7"/>
      <c r="D1868" s="80"/>
      <c r="E1868" s="76"/>
    </row>
    <row r="1869" spans="2:5" ht="15" x14ac:dyDescent="0.2">
      <c r="B1869" s="7"/>
      <c r="C1869" s="7"/>
      <c r="D1869" s="80"/>
      <c r="E1869" s="76"/>
    </row>
    <row r="1870" spans="2:5" ht="15" x14ac:dyDescent="0.2">
      <c r="B1870" s="7"/>
      <c r="C1870" s="7"/>
      <c r="D1870" s="80"/>
      <c r="E1870" s="76"/>
    </row>
    <row r="1871" spans="2:5" ht="15" x14ac:dyDescent="0.2">
      <c r="B1871" s="7"/>
      <c r="C1871" s="7"/>
      <c r="D1871" s="80"/>
      <c r="E1871" s="76"/>
    </row>
    <row r="1872" spans="2:5" ht="15" x14ac:dyDescent="0.2">
      <c r="B1872" s="7"/>
      <c r="C1872" s="7"/>
      <c r="D1872" s="80"/>
      <c r="E1872" s="76"/>
    </row>
    <row r="1873" spans="2:5" ht="15" x14ac:dyDescent="0.2">
      <c r="B1873" s="7"/>
      <c r="C1873" s="7"/>
      <c r="D1873" s="80"/>
      <c r="E1873" s="76"/>
    </row>
    <row r="1874" spans="2:5" ht="15" x14ac:dyDescent="0.2">
      <c r="B1874" s="7"/>
      <c r="C1874" s="7"/>
      <c r="D1874" s="80"/>
      <c r="E1874" s="76"/>
    </row>
    <row r="1875" spans="2:5" ht="15" x14ac:dyDescent="0.2">
      <c r="B1875" s="7"/>
      <c r="C1875" s="7"/>
      <c r="D1875" s="80"/>
      <c r="E1875" s="76"/>
    </row>
    <row r="1876" spans="2:5" ht="15" x14ac:dyDescent="0.2">
      <c r="B1876" s="7"/>
      <c r="C1876" s="7"/>
      <c r="D1876" s="80"/>
      <c r="E1876" s="76"/>
    </row>
    <row r="1877" spans="2:5" ht="15" x14ac:dyDescent="0.2">
      <c r="B1877" s="7"/>
      <c r="C1877" s="7"/>
      <c r="D1877" s="80"/>
      <c r="E1877" s="76"/>
    </row>
    <row r="1878" spans="2:5" ht="15" x14ac:dyDescent="0.2">
      <c r="B1878" s="7"/>
      <c r="C1878" s="7"/>
      <c r="D1878" s="80"/>
      <c r="E1878" s="76"/>
    </row>
    <row r="1879" spans="2:5" ht="15" x14ac:dyDescent="0.2">
      <c r="B1879" s="7"/>
      <c r="C1879" s="7"/>
      <c r="D1879" s="80"/>
      <c r="E1879" s="76"/>
    </row>
    <row r="1880" spans="2:5" ht="15" x14ac:dyDescent="0.2">
      <c r="B1880" s="7"/>
      <c r="C1880" s="7"/>
      <c r="D1880" s="80"/>
      <c r="E1880" s="76"/>
    </row>
    <row r="1881" spans="2:5" ht="15" x14ac:dyDescent="0.2">
      <c r="B1881" s="7"/>
      <c r="C1881" s="7"/>
      <c r="D1881" s="80"/>
      <c r="E1881" s="76"/>
    </row>
    <row r="1882" spans="2:5" ht="15" x14ac:dyDescent="0.2">
      <c r="B1882" s="7"/>
      <c r="C1882" s="7"/>
      <c r="D1882" s="80"/>
      <c r="E1882" s="76"/>
    </row>
    <row r="1883" spans="2:5" ht="15" x14ac:dyDescent="0.2">
      <c r="B1883" s="7"/>
      <c r="C1883" s="7"/>
      <c r="D1883" s="80"/>
      <c r="E1883" s="76"/>
    </row>
    <row r="1884" spans="2:5" ht="15" x14ac:dyDescent="0.2">
      <c r="B1884" s="7"/>
      <c r="C1884" s="7"/>
      <c r="D1884" s="80"/>
      <c r="E1884" s="76"/>
    </row>
    <row r="1885" spans="2:5" ht="15" x14ac:dyDescent="0.2">
      <c r="B1885" s="7"/>
      <c r="C1885" s="7"/>
      <c r="D1885" s="80"/>
      <c r="E1885" s="76"/>
    </row>
    <row r="1886" spans="2:5" ht="15" x14ac:dyDescent="0.2">
      <c r="B1886" s="7"/>
      <c r="C1886" s="7"/>
      <c r="D1886" s="80"/>
      <c r="E1886" s="76"/>
    </row>
    <row r="1887" spans="2:5" ht="15" x14ac:dyDescent="0.2">
      <c r="B1887" s="7"/>
      <c r="C1887" s="7"/>
      <c r="D1887" s="80"/>
      <c r="E1887" s="76"/>
    </row>
    <row r="1888" spans="2:5" ht="15" x14ac:dyDescent="0.2">
      <c r="B1888" s="7"/>
      <c r="C1888" s="7"/>
      <c r="D1888" s="80"/>
      <c r="E1888" s="76"/>
    </row>
    <row r="1889" spans="2:5" ht="15" x14ac:dyDescent="0.2">
      <c r="B1889" s="7"/>
      <c r="C1889" s="7"/>
      <c r="D1889" s="80"/>
      <c r="E1889" s="76"/>
    </row>
    <row r="1890" spans="2:5" ht="15" x14ac:dyDescent="0.2">
      <c r="B1890" s="7"/>
      <c r="C1890" s="7"/>
      <c r="D1890" s="80"/>
      <c r="E1890" s="76"/>
    </row>
    <row r="1891" spans="2:5" ht="15" x14ac:dyDescent="0.2">
      <c r="B1891" s="7"/>
      <c r="C1891" s="7"/>
      <c r="D1891" s="80"/>
      <c r="E1891" s="76"/>
    </row>
    <row r="1892" spans="2:5" ht="15" x14ac:dyDescent="0.2">
      <c r="B1892" s="7"/>
      <c r="C1892" s="7"/>
      <c r="D1892" s="80"/>
      <c r="E1892" s="76"/>
    </row>
    <row r="1893" spans="2:5" ht="15" x14ac:dyDescent="0.2">
      <c r="B1893" s="7"/>
      <c r="C1893" s="7"/>
      <c r="D1893" s="80"/>
      <c r="E1893" s="76"/>
    </row>
    <row r="1894" spans="2:5" ht="15" x14ac:dyDescent="0.2">
      <c r="B1894" s="7"/>
      <c r="C1894" s="7"/>
      <c r="D1894" s="80"/>
      <c r="E1894" s="76"/>
    </row>
    <row r="1895" spans="2:5" ht="15" x14ac:dyDescent="0.2">
      <c r="B1895" s="7"/>
      <c r="C1895" s="7"/>
      <c r="D1895" s="80"/>
      <c r="E1895" s="76"/>
    </row>
    <row r="1896" spans="2:5" ht="15" x14ac:dyDescent="0.2">
      <c r="B1896" s="7"/>
      <c r="C1896" s="7"/>
      <c r="D1896" s="80"/>
      <c r="E1896" s="76"/>
    </row>
    <row r="1897" spans="2:5" ht="15" x14ac:dyDescent="0.2">
      <c r="B1897" s="7"/>
      <c r="C1897" s="7"/>
      <c r="D1897" s="80"/>
      <c r="E1897" s="76"/>
    </row>
    <row r="1898" spans="2:5" ht="15" x14ac:dyDescent="0.2">
      <c r="B1898" s="7"/>
      <c r="C1898" s="7"/>
      <c r="D1898" s="80"/>
      <c r="E1898" s="76"/>
    </row>
    <row r="1899" spans="2:5" ht="15" x14ac:dyDescent="0.2">
      <c r="B1899" s="7"/>
      <c r="C1899" s="7"/>
      <c r="D1899" s="80"/>
      <c r="E1899" s="76"/>
    </row>
    <row r="1900" spans="2:5" ht="15" x14ac:dyDescent="0.2">
      <c r="B1900" s="7"/>
      <c r="C1900" s="7"/>
      <c r="D1900" s="80"/>
      <c r="E1900" s="76"/>
    </row>
    <row r="1901" spans="2:5" ht="15" x14ac:dyDescent="0.2">
      <c r="B1901" s="7"/>
      <c r="C1901" s="7"/>
      <c r="D1901" s="80"/>
      <c r="E1901" s="76"/>
    </row>
    <row r="1902" spans="2:5" ht="15" x14ac:dyDescent="0.2">
      <c r="B1902" s="7"/>
      <c r="C1902" s="7"/>
      <c r="D1902" s="80"/>
      <c r="E1902" s="76"/>
    </row>
    <row r="1903" spans="2:5" ht="15" x14ac:dyDescent="0.2">
      <c r="B1903" s="7"/>
      <c r="C1903" s="7"/>
      <c r="D1903" s="80"/>
      <c r="E1903" s="76"/>
    </row>
    <row r="1904" spans="2:5" ht="15" x14ac:dyDescent="0.2">
      <c r="B1904" s="7"/>
      <c r="C1904" s="7"/>
      <c r="D1904" s="80"/>
      <c r="E1904" s="76"/>
    </row>
    <row r="1905" spans="2:5" ht="15" x14ac:dyDescent="0.2">
      <c r="B1905" s="7"/>
      <c r="C1905" s="7"/>
      <c r="D1905" s="80"/>
      <c r="E1905" s="76"/>
    </row>
    <row r="1906" spans="2:5" ht="15" x14ac:dyDescent="0.2">
      <c r="B1906" s="7"/>
      <c r="C1906" s="7"/>
      <c r="D1906" s="80"/>
      <c r="E1906" s="76"/>
    </row>
    <row r="1907" spans="2:5" ht="15" x14ac:dyDescent="0.2">
      <c r="B1907" s="7"/>
      <c r="C1907" s="7"/>
      <c r="D1907" s="80"/>
      <c r="E1907" s="76"/>
    </row>
    <row r="1908" spans="2:5" ht="15" x14ac:dyDescent="0.2">
      <c r="B1908" s="7"/>
      <c r="C1908" s="7"/>
      <c r="D1908" s="80"/>
      <c r="E1908" s="76"/>
    </row>
    <row r="1909" spans="2:5" ht="15" x14ac:dyDescent="0.2">
      <c r="B1909" s="7"/>
      <c r="C1909" s="7"/>
      <c r="D1909" s="80"/>
      <c r="E1909" s="76"/>
    </row>
    <row r="1910" spans="2:5" ht="15" x14ac:dyDescent="0.2">
      <c r="B1910" s="7"/>
      <c r="C1910" s="7"/>
      <c r="D1910" s="80"/>
      <c r="E1910" s="76"/>
    </row>
    <row r="1911" spans="2:5" ht="15" x14ac:dyDescent="0.2">
      <c r="B1911" s="7"/>
      <c r="C1911" s="7"/>
      <c r="D1911" s="80"/>
      <c r="E1911" s="76"/>
    </row>
    <row r="1912" spans="2:5" ht="15" x14ac:dyDescent="0.2">
      <c r="B1912" s="7"/>
      <c r="C1912" s="7"/>
      <c r="D1912" s="80"/>
      <c r="E1912" s="76"/>
    </row>
    <row r="1913" spans="2:5" ht="15" x14ac:dyDescent="0.2">
      <c r="B1913" s="7"/>
      <c r="C1913" s="7"/>
      <c r="D1913" s="80"/>
      <c r="E1913" s="76"/>
    </row>
    <row r="1914" spans="2:5" ht="15" x14ac:dyDescent="0.2">
      <c r="B1914" s="7"/>
      <c r="C1914" s="7"/>
      <c r="D1914" s="80"/>
      <c r="E1914" s="76"/>
    </row>
    <row r="1915" spans="2:5" ht="15" x14ac:dyDescent="0.2">
      <c r="B1915" s="7"/>
      <c r="C1915" s="7"/>
      <c r="D1915" s="80"/>
      <c r="E1915" s="76"/>
    </row>
    <row r="1916" spans="2:5" ht="15" x14ac:dyDescent="0.2">
      <c r="B1916" s="7"/>
      <c r="C1916" s="7"/>
      <c r="D1916" s="80"/>
      <c r="E1916" s="76"/>
    </row>
    <row r="1917" spans="2:5" ht="15" x14ac:dyDescent="0.2">
      <c r="B1917" s="7"/>
      <c r="C1917" s="7"/>
      <c r="D1917" s="80"/>
      <c r="E1917" s="76"/>
    </row>
    <row r="1918" spans="2:5" ht="15" x14ac:dyDescent="0.2">
      <c r="B1918" s="7"/>
      <c r="C1918" s="7"/>
      <c r="D1918" s="80"/>
      <c r="E1918" s="76"/>
    </row>
    <row r="1919" spans="2:5" ht="15" x14ac:dyDescent="0.2">
      <c r="B1919" s="7"/>
      <c r="C1919" s="7"/>
      <c r="D1919" s="80"/>
      <c r="E1919" s="76"/>
    </row>
    <row r="1920" spans="2:5" ht="15" x14ac:dyDescent="0.2">
      <c r="B1920" s="7"/>
      <c r="C1920" s="7"/>
      <c r="D1920" s="80"/>
      <c r="E1920" s="76"/>
    </row>
    <row r="1921" spans="2:5" ht="15" x14ac:dyDescent="0.2">
      <c r="B1921" s="7"/>
      <c r="C1921" s="7"/>
      <c r="D1921" s="80"/>
      <c r="E1921" s="76"/>
    </row>
    <row r="1922" spans="2:5" ht="15" x14ac:dyDescent="0.2">
      <c r="B1922" s="7"/>
      <c r="C1922" s="7"/>
      <c r="D1922" s="80"/>
      <c r="E1922" s="76"/>
    </row>
    <row r="1923" spans="2:5" ht="15" x14ac:dyDescent="0.2">
      <c r="B1923" s="7"/>
      <c r="C1923" s="7"/>
      <c r="D1923" s="80"/>
      <c r="E1923" s="76"/>
    </row>
    <row r="1924" spans="2:5" ht="15" x14ac:dyDescent="0.2">
      <c r="B1924" s="7"/>
      <c r="C1924" s="7"/>
      <c r="D1924" s="80"/>
      <c r="E1924" s="76"/>
    </row>
    <row r="1925" spans="2:5" ht="15" x14ac:dyDescent="0.2">
      <c r="B1925" s="7"/>
      <c r="C1925" s="7"/>
      <c r="D1925" s="80"/>
      <c r="E1925" s="76"/>
    </row>
    <row r="1926" spans="2:5" ht="15" x14ac:dyDescent="0.2">
      <c r="B1926" s="7"/>
      <c r="C1926" s="7"/>
      <c r="D1926" s="80"/>
      <c r="E1926" s="76"/>
    </row>
    <row r="1927" spans="2:5" ht="15" x14ac:dyDescent="0.2">
      <c r="B1927" s="7"/>
      <c r="C1927" s="7"/>
      <c r="D1927" s="80"/>
      <c r="E1927" s="76"/>
    </row>
    <row r="1928" spans="2:5" ht="15" x14ac:dyDescent="0.2">
      <c r="B1928" s="7"/>
      <c r="C1928" s="7"/>
      <c r="D1928" s="80"/>
      <c r="E1928" s="76"/>
    </row>
    <row r="1929" spans="2:5" ht="15" x14ac:dyDescent="0.2">
      <c r="B1929" s="7"/>
      <c r="C1929" s="7"/>
      <c r="D1929" s="80"/>
      <c r="E1929" s="76"/>
    </row>
    <row r="1930" spans="2:5" ht="15" x14ac:dyDescent="0.2">
      <c r="B1930" s="7"/>
      <c r="C1930" s="7"/>
      <c r="D1930" s="80"/>
      <c r="E1930" s="76"/>
    </row>
    <row r="1931" spans="2:5" ht="15" x14ac:dyDescent="0.2">
      <c r="B1931" s="7"/>
      <c r="C1931" s="7"/>
      <c r="D1931" s="80"/>
      <c r="E1931" s="76"/>
    </row>
    <row r="1932" spans="2:5" ht="15" x14ac:dyDescent="0.2">
      <c r="B1932" s="7"/>
      <c r="C1932" s="7"/>
      <c r="D1932" s="80"/>
      <c r="E1932" s="76"/>
    </row>
    <row r="1933" spans="2:5" ht="15" x14ac:dyDescent="0.2">
      <c r="B1933" s="7"/>
      <c r="C1933" s="7"/>
      <c r="D1933" s="80"/>
      <c r="E1933" s="76"/>
    </row>
    <row r="1934" spans="2:5" ht="15" x14ac:dyDescent="0.2">
      <c r="B1934" s="7"/>
      <c r="C1934" s="7"/>
      <c r="D1934" s="80"/>
      <c r="E1934" s="76"/>
    </row>
    <row r="1935" spans="2:5" ht="15" x14ac:dyDescent="0.2">
      <c r="B1935" s="7"/>
      <c r="C1935" s="7"/>
      <c r="D1935" s="80"/>
      <c r="E1935" s="76"/>
    </row>
    <row r="1936" spans="2:5" ht="15" x14ac:dyDescent="0.2">
      <c r="B1936" s="7"/>
      <c r="C1936" s="7"/>
      <c r="D1936" s="80"/>
      <c r="E1936" s="76"/>
    </row>
    <row r="1937" spans="1:5" ht="15" x14ac:dyDescent="0.2">
      <c r="B1937" s="7"/>
      <c r="C1937" s="7"/>
      <c r="D1937" s="80"/>
      <c r="E1937" s="76"/>
    </row>
    <row r="1938" spans="1:5" ht="15" x14ac:dyDescent="0.2">
      <c r="B1938" s="7"/>
      <c r="C1938" s="7"/>
      <c r="D1938" s="80"/>
      <c r="E1938" s="76"/>
    </row>
    <row r="1939" spans="1:5" ht="15" x14ac:dyDescent="0.2">
      <c r="B1939" s="7"/>
      <c r="C1939" s="7"/>
      <c r="D1939" s="80"/>
      <c r="E1939" s="76"/>
    </row>
    <row r="1940" spans="1:5" ht="15" x14ac:dyDescent="0.2">
      <c r="B1940" s="7"/>
      <c r="C1940" s="7"/>
      <c r="D1940" s="80"/>
      <c r="E1940" s="76"/>
    </row>
    <row r="1941" spans="1:5" ht="15" x14ac:dyDescent="0.2">
      <c r="B1941" s="7"/>
      <c r="C1941" s="7"/>
      <c r="D1941" s="80"/>
      <c r="E1941" s="76"/>
    </row>
    <row r="1942" spans="1:5" ht="15" x14ac:dyDescent="0.2">
      <c r="B1942" s="7"/>
      <c r="C1942" s="7"/>
      <c r="D1942" s="80"/>
      <c r="E1942" s="76"/>
    </row>
    <row r="1943" spans="1:5" ht="15" x14ac:dyDescent="0.2">
      <c r="B1943" s="7"/>
      <c r="C1943" s="7"/>
      <c r="D1943" s="80"/>
      <c r="E1943" s="76"/>
    </row>
    <row r="1944" spans="1:5" ht="15" x14ac:dyDescent="0.2">
      <c r="B1944" s="7"/>
      <c r="C1944" s="7"/>
      <c r="D1944" s="80"/>
      <c r="E1944" s="76"/>
    </row>
    <row r="1945" spans="1:5" ht="15" x14ac:dyDescent="0.2">
      <c r="B1945" s="7"/>
      <c r="C1945" s="7"/>
      <c r="D1945" s="80"/>
      <c r="E1945" s="76"/>
    </row>
    <row r="1946" spans="1:5" ht="15" x14ac:dyDescent="0.2">
      <c r="B1946" s="7"/>
      <c r="C1946" s="7"/>
      <c r="D1946" s="80"/>
      <c r="E1946" s="76"/>
    </row>
    <row r="1947" spans="1:5" ht="15" x14ac:dyDescent="0.2">
      <c r="A1947" s="53" t="s">
        <v>2438</v>
      </c>
      <c r="B1947" s="7" t="s">
        <v>758</v>
      </c>
      <c r="C1947" s="7" t="s">
        <v>6</v>
      </c>
      <c r="D1947" s="80">
        <v>9500</v>
      </c>
      <c r="E1947" s="76">
        <f t="shared" si="11"/>
        <v>9515</v>
      </c>
    </row>
    <row r="1948" spans="1:5" ht="15" x14ac:dyDescent="0.2">
      <c r="B1948" s="7" t="s">
        <v>760</v>
      </c>
      <c r="C1948" s="7" t="s">
        <v>6</v>
      </c>
      <c r="D1948" s="80">
        <v>87000</v>
      </c>
      <c r="E1948" s="76">
        <f t="shared" si="11"/>
        <v>87015</v>
      </c>
    </row>
    <row r="1949" spans="1:5" ht="15" x14ac:dyDescent="0.2">
      <c r="B1949" s="7" t="s">
        <v>762</v>
      </c>
      <c r="C1949" s="7" t="s">
        <v>3</v>
      </c>
      <c r="D1949" s="80">
        <v>6500</v>
      </c>
      <c r="E1949" s="76">
        <f t="shared" si="11"/>
        <v>6515</v>
      </c>
    </row>
    <row r="1950" spans="1:5" ht="15" x14ac:dyDescent="0.2">
      <c r="B1950" s="7" t="s">
        <v>764</v>
      </c>
      <c r="C1950" s="7" t="s">
        <v>37</v>
      </c>
      <c r="D1950" s="80">
        <v>130000</v>
      </c>
      <c r="E1950" s="76">
        <f t="shared" si="11"/>
        <v>130015</v>
      </c>
    </row>
    <row r="1951" spans="1:5" ht="15" x14ac:dyDescent="0.2">
      <c r="B1951" s="7" t="s">
        <v>766</v>
      </c>
      <c r="C1951" s="7" t="s">
        <v>6</v>
      </c>
      <c r="D1951" s="80">
        <v>23500</v>
      </c>
      <c r="E1951" s="76">
        <f t="shared" si="11"/>
        <v>23515</v>
      </c>
    </row>
    <row r="1952" spans="1:5" ht="15" x14ac:dyDescent="0.2">
      <c r="B1952" s="7" t="s">
        <v>768</v>
      </c>
      <c r="C1952" s="7" t="s">
        <v>6</v>
      </c>
      <c r="D1952" s="80">
        <v>65500</v>
      </c>
      <c r="E1952" s="76">
        <f t="shared" si="11"/>
        <v>65515</v>
      </c>
    </row>
    <row r="1953" spans="2:5" ht="15" x14ac:dyDescent="0.2">
      <c r="B1953" s="7" t="s">
        <v>770</v>
      </c>
      <c r="C1953" s="7" t="s">
        <v>3</v>
      </c>
      <c r="D1953" s="80">
        <v>22000</v>
      </c>
      <c r="E1953" s="76">
        <f t="shared" si="11"/>
        <v>22015</v>
      </c>
    </row>
    <row r="1954" spans="2:5" ht="15" x14ac:dyDescent="0.2">
      <c r="B1954" s="7" t="s">
        <v>772</v>
      </c>
      <c r="C1954" s="7" t="s">
        <v>101</v>
      </c>
      <c r="D1954" s="80">
        <v>34000</v>
      </c>
      <c r="E1954" s="76">
        <f t="shared" si="11"/>
        <v>34015</v>
      </c>
    </row>
    <row r="1955" spans="2:5" ht="15" x14ac:dyDescent="0.2">
      <c r="B1955" s="7" t="s">
        <v>774</v>
      </c>
      <c r="C1955" s="7" t="s">
        <v>3</v>
      </c>
      <c r="D1955" s="80">
        <v>24000</v>
      </c>
      <c r="E1955" s="76">
        <f t="shared" si="11"/>
        <v>24015</v>
      </c>
    </row>
    <row r="1956" spans="2:5" ht="15" x14ac:dyDescent="0.2">
      <c r="B1956" s="7" t="s">
        <v>776</v>
      </c>
      <c r="C1956" s="7" t="s">
        <v>3</v>
      </c>
      <c r="D1956" s="80">
        <v>50000</v>
      </c>
      <c r="E1956" s="76">
        <f t="shared" si="11"/>
        <v>50015</v>
      </c>
    </row>
    <row r="1957" spans="2:5" ht="15" x14ac:dyDescent="0.2">
      <c r="B1957" s="7" t="s">
        <v>778</v>
      </c>
      <c r="C1957" s="7" t="s">
        <v>3</v>
      </c>
      <c r="D1957" s="80">
        <v>47000</v>
      </c>
      <c r="E1957" s="76">
        <f t="shared" si="11"/>
        <v>47015</v>
      </c>
    </row>
    <row r="1958" spans="2:5" ht="15" x14ac:dyDescent="0.2">
      <c r="B1958" s="7" t="s">
        <v>780</v>
      </c>
      <c r="C1958" s="7" t="s">
        <v>3</v>
      </c>
      <c r="D1958" s="80">
        <v>15000</v>
      </c>
      <c r="E1958" s="76">
        <f t="shared" si="11"/>
        <v>15015</v>
      </c>
    </row>
    <row r="1959" spans="2:5" ht="15" x14ac:dyDescent="0.2">
      <c r="B1959" s="7" t="s">
        <v>782</v>
      </c>
      <c r="C1959" s="7" t="s">
        <v>3</v>
      </c>
      <c r="D1959" s="80">
        <v>20000</v>
      </c>
      <c r="E1959" s="76">
        <f t="shared" si="11"/>
        <v>20015</v>
      </c>
    </row>
    <row r="1960" spans="2:5" ht="15" x14ac:dyDescent="0.2">
      <c r="B1960" s="7" t="s">
        <v>784</v>
      </c>
      <c r="C1960" s="7" t="s">
        <v>3</v>
      </c>
      <c r="D1960" s="80">
        <v>38000</v>
      </c>
      <c r="E1960" s="76">
        <f t="shared" si="11"/>
        <v>38015</v>
      </c>
    </row>
    <row r="1961" spans="2:5" ht="15" x14ac:dyDescent="0.2">
      <c r="B1961" s="7" t="s">
        <v>786</v>
      </c>
      <c r="C1961" s="7" t="s">
        <v>6</v>
      </c>
      <c r="D1961" s="80">
        <v>15000</v>
      </c>
      <c r="E1961" s="76">
        <f t="shared" si="11"/>
        <v>15015</v>
      </c>
    </row>
    <row r="1962" spans="2:5" ht="15" x14ac:dyDescent="0.2">
      <c r="B1962" s="7" t="s">
        <v>788</v>
      </c>
      <c r="C1962" s="7" t="s">
        <v>37</v>
      </c>
      <c r="D1962" s="80">
        <v>106000</v>
      </c>
      <c r="E1962" s="76">
        <f t="shared" si="11"/>
        <v>106015</v>
      </c>
    </row>
    <row r="1963" spans="2:5" ht="15" x14ac:dyDescent="0.2">
      <c r="B1963" s="7" t="s">
        <v>790</v>
      </c>
      <c r="C1963" s="7" t="s">
        <v>6</v>
      </c>
      <c r="D1963" s="80">
        <v>189000</v>
      </c>
      <c r="E1963" s="76">
        <f t="shared" si="11"/>
        <v>189015</v>
      </c>
    </row>
    <row r="1964" spans="2:5" ht="15" x14ac:dyDescent="0.2">
      <c r="B1964" s="7" t="s">
        <v>792</v>
      </c>
      <c r="C1964" s="7" t="s">
        <v>6</v>
      </c>
      <c r="D1964" s="80">
        <v>1920</v>
      </c>
      <c r="E1964" s="76">
        <f t="shared" si="11"/>
        <v>1935</v>
      </c>
    </row>
    <row r="1965" spans="2:5" ht="15" x14ac:dyDescent="0.2">
      <c r="B1965" s="7" t="s">
        <v>794</v>
      </c>
      <c r="C1965" s="7" t="s">
        <v>3</v>
      </c>
      <c r="D1965" s="80">
        <v>84000</v>
      </c>
      <c r="E1965" s="76">
        <f t="shared" si="11"/>
        <v>84015</v>
      </c>
    </row>
    <row r="1966" spans="2:5" ht="15" x14ac:dyDescent="0.2">
      <c r="B1966" s="7" t="s">
        <v>796</v>
      </c>
      <c r="C1966" s="7" t="s">
        <v>6</v>
      </c>
      <c r="D1966" s="80">
        <v>50000</v>
      </c>
      <c r="E1966" s="76">
        <f t="shared" si="11"/>
        <v>50015</v>
      </c>
    </row>
    <row r="1967" spans="2:5" ht="15" x14ac:dyDescent="0.2">
      <c r="B1967" s="7" t="s">
        <v>798</v>
      </c>
      <c r="C1967" s="7" t="s">
        <v>6</v>
      </c>
      <c r="D1967" s="80">
        <v>38000</v>
      </c>
      <c r="E1967" s="76">
        <f t="shared" si="11"/>
        <v>38015</v>
      </c>
    </row>
    <row r="1968" spans="2:5" ht="15" x14ac:dyDescent="0.2">
      <c r="B1968" s="7" t="s">
        <v>800</v>
      </c>
      <c r="C1968" s="7" t="s">
        <v>6</v>
      </c>
      <c r="D1968" s="80">
        <v>15000</v>
      </c>
      <c r="E1968" s="76">
        <f t="shared" si="11"/>
        <v>15015</v>
      </c>
    </row>
    <row r="1969" spans="2:5" ht="15" x14ac:dyDescent="0.2">
      <c r="B1969" s="7" t="s">
        <v>802</v>
      </c>
      <c r="C1969" s="7" t="s">
        <v>12</v>
      </c>
      <c r="D1969" s="80">
        <v>12500</v>
      </c>
      <c r="E1969" s="76">
        <f t="shared" si="11"/>
        <v>12515</v>
      </c>
    </row>
    <row r="1970" spans="2:5" ht="15" x14ac:dyDescent="0.2">
      <c r="B1970" s="7" t="s">
        <v>804</v>
      </c>
      <c r="C1970" s="7" t="s">
        <v>12</v>
      </c>
      <c r="D1970" s="80">
        <v>13500</v>
      </c>
      <c r="E1970" s="76">
        <f t="shared" si="11"/>
        <v>13515</v>
      </c>
    </row>
    <row r="1971" spans="2:5" ht="15" x14ac:dyDescent="0.2">
      <c r="B1971" s="7" t="s">
        <v>806</v>
      </c>
      <c r="C1971" s="7" t="s">
        <v>12</v>
      </c>
      <c r="D1971" s="80">
        <v>14000</v>
      </c>
      <c r="E1971" s="76">
        <f t="shared" si="11"/>
        <v>14015</v>
      </c>
    </row>
    <row r="1972" spans="2:5" ht="15" x14ac:dyDescent="0.2">
      <c r="B1972" s="7" t="s">
        <v>808</v>
      </c>
      <c r="C1972" s="7" t="s">
        <v>6</v>
      </c>
      <c r="D1972" s="80">
        <v>46000</v>
      </c>
      <c r="E1972" s="76">
        <f t="shared" ref="E1972:E2135" si="12">D1972+15</f>
        <v>46015</v>
      </c>
    </row>
    <row r="1973" spans="2:5" ht="15" x14ac:dyDescent="0.2">
      <c r="B1973" s="7" t="s">
        <v>810</v>
      </c>
      <c r="C1973" s="7" t="s">
        <v>6</v>
      </c>
      <c r="D1973" s="80">
        <v>17000</v>
      </c>
      <c r="E1973" s="76">
        <f t="shared" si="12"/>
        <v>17015</v>
      </c>
    </row>
    <row r="1974" spans="2:5" ht="15" x14ac:dyDescent="0.2">
      <c r="B1974" s="7" t="s">
        <v>812</v>
      </c>
      <c r="C1974" s="7" t="s">
        <v>6</v>
      </c>
      <c r="D1974" s="80">
        <v>44000</v>
      </c>
      <c r="E1974" s="76">
        <f t="shared" si="12"/>
        <v>44015</v>
      </c>
    </row>
    <row r="1975" spans="2:5" ht="15" x14ac:dyDescent="0.2">
      <c r="B1975" s="7" t="s">
        <v>814</v>
      </c>
      <c r="C1975" s="7" t="s">
        <v>12</v>
      </c>
      <c r="D1975" s="80">
        <v>97000</v>
      </c>
      <c r="E1975" s="76">
        <f t="shared" si="12"/>
        <v>97015</v>
      </c>
    </row>
    <row r="1976" spans="2:5" ht="15" x14ac:dyDescent="0.2">
      <c r="B1976" s="7" t="s">
        <v>816</v>
      </c>
      <c r="C1976" s="7" t="s">
        <v>6</v>
      </c>
      <c r="D1976" s="80">
        <v>145000</v>
      </c>
      <c r="E1976" s="76">
        <f t="shared" si="12"/>
        <v>145015</v>
      </c>
    </row>
    <row r="1977" spans="2:5" ht="15" x14ac:dyDescent="0.2">
      <c r="B1977" s="7" t="s">
        <v>818</v>
      </c>
      <c r="C1977" s="7" t="s">
        <v>6</v>
      </c>
      <c r="D1977" s="80">
        <v>15500</v>
      </c>
      <c r="E1977" s="76">
        <f t="shared" si="12"/>
        <v>15515</v>
      </c>
    </row>
    <row r="1978" spans="2:5" ht="15" x14ac:dyDescent="0.2">
      <c r="B1978" s="7" t="s">
        <v>820</v>
      </c>
      <c r="C1978" s="7" t="s">
        <v>6</v>
      </c>
      <c r="D1978" s="80">
        <v>20000</v>
      </c>
      <c r="E1978" s="76">
        <f t="shared" si="12"/>
        <v>20015</v>
      </c>
    </row>
    <row r="1979" spans="2:5" ht="15" x14ac:dyDescent="0.2">
      <c r="B1979" s="7" t="s">
        <v>822</v>
      </c>
      <c r="C1979" s="7" t="s">
        <v>6</v>
      </c>
      <c r="D1979" s="80">
        <v>60000</v>
      </c>
      <c r="E1979" s="76">
        <f t="shared" si="12"/>
        <v>60015</v>
      </c>
    </row>
    <row r="1980" spans="2:5" ht="15" x14ac:dyDescent="0.2">
      <c r="B1980" s="7" t="s">
        <v>824</v>
      </c>
      <c r="C1980" s="7" t="s">
        <v>6</v>
      </c>
      <c r="D1980" s="80">
        <v>102000</v>
      </c>
      <c r="E1980" s="76">
        <f t="shared" si="12"/>
        <v>102015</v>
      </c>
    </row>
    <row r="1981" spans="2:5" ht="15" x14ac:dyDescent="0.2">
      <c r="B1981" s="7" t="s">
        <v>826</v>
      </c>
      <c r="C1981" s="7" t="s">
        <v>6</v>
      </c>
      <c r="D1981" s="80">
        <v>59000</v>
      </c>
      <c r="E1981" s="76">
        <f t="shared" si="12"/>
        <v>59015</v>
      </c>
    </row>
    <row r="1982" spans="2:5" ht="15" x14ac:dyDescent="0.2">
      <c r="B1982" s="7" t="s">
        <v>828</v>
      </c>
      <c r="C1982" s="7" t="s">
        <v>6</v>
      </c>
      <c r="D1982" s="80">
        <v>18000</v>
      </c>
      <c r="E1982" s="76">
        <f t="shared" si="12"/>
        <v>18015</v>
      </c>
    </row>
    <row r="1983" spans="2:5" ht="15" x14ac:dyDescent="0.2">
      <c r="B1983" s="7" t="s">
        <v>830</v>
      </c>
      <c r="C1983" s="7" t="s">
        <v>6</v>
      </c>
      <c r="D1983" s="80">
        <v>77000</v>
      </c>
      <c r="E1983" s="76">
        <f t="shared" si="12"/>
        <v>77015</v>
      </c>
    </row>
    <row r="1984" spans="2:5" ht="15" x14ac:dyDescent="0.2">
      <c r="B1984" s="7" t="s">
        <v>832</v>
      </c>
      <c r="C1984" s="7" t="s">
        <v>3</v>
      </c>
      <c r="D1984" s="80">
        <v>90000</v>
      </c>
      <c r="E1984" s="76">
        <f t="shared" si="12"/>
        <v>90015</v>
      </c>
    </row>
    <row r="1985" spans="2:5" ht="15" x14ac:dyDescent="0.2">
      <c r="B1985" s="7" t="s">
        <v>834</v>
      </c>
      <c r="C1985" s="7" t="s">
        <v>6</v>
      </c>
      <c r="D1985" s="80">
        <v>3600</v>
      </c>
      <c r="E1985" s="76">
        <f t="shared" si="12"/>
        <v>3615</v>
      </c>
    </row>
    <row r="1986" spans="2:5" ht="15" x14ac:dyDescent="0.2">
      <c r="B1986" s="7" t="s">
        <v>836</v>
      </c>
      <c r="C1986" s="7" t="s">
        <v>3</v>
      </c>
      <c r="D1986" s="80">
        <v>25000</v>
      </c>
      <c r="E1986" s="76">
        <f t="shared" si="12"/>
        <v>25015</v>
      </c>
    </row>
    <row r="1987" spans="2:5" ht="15" x14ac:dyDescent="0.2">
      <c r="B1987" s="7" t="s">
        <v>838</v>
      </c>
      <c r="C1987" s="7" t="s">
        <v>6</v>
      </c>
      <c r="D1987" s="80">
        <v>47500</v>
      </c>
      <c r="E1987" s="76">
        <f t="shared" si="12"/>
        <v>47515</v>
      </c>
    </row>
    <row r="1988" spans="2:5" ht="15" x14ac:dyDescent="0.2">
      <c r="B1988" s="7" t="s">
        <v>840</v>
      </c>
      <c r="C1988" s="7" t="s">
        <v>6</v>
      </c>
      <c r="D1988" s="80">
        <v>88000</v>
      </c>
      <c r="E1988" s="76">
        <f t="shared" si="12"/>
        <v>88015</v>
      </c>
    </row>
    <row r="1989" spans="2:5" ht="15" x14ac:dyDescent="0.2">
      <c r="B1989" s="7" t="s">
        <v>842</v>
      </c>
      <c r="C1989" s="7" t="s">
        <v>6</v>
      </c>
      <c r="D1989" s="80">
        <v>145000</v>
      </c>
      <c r="E1989" s="76">
        <f t="shared" si="12"/>
        <v>145015</v>
      </c>
    </row>
    <row r="1990" spans="2:5" ht="15" x14ac:dyDescent="0.2">
      <c r="B1990" s="7" t="s">
        <v>844</v>
      </c>
      <c r="C1990" s="7" t="s">
        <v>6</v>
      </c>
      <c r="D1990" s="80">
        <v>31000</v>
      </c>
      <c r="E1990" s="76">
        <f t="shared" si="12"/>
        <v>31015</v>
      </c>
    </row>
    <row r="1991" spans="2:5" ht="15" x14ac:dyDescent="0.2">
      <c r="B1991" s="7" t="s">
        <v>846</v>
      </c>
      <c r="C1991" s="7" t="s">
        <v>6</v>
      </c>
      <c r="D1991" s="80">
        <v>19000</v>
      </c>
      <c r="E1991" s="76">
        <f t="shared" si="12"/>
        <v>19015</v>
      </c>
    </row>
    <row r="1992" spans="2:5" ht="15" x14ac:dyDescent="0.2">
      <c r="B1992" s="7" t="s">
        <v>848</v>
      </c>
      <c r="C1992" s="7" t="s">
        <v>6</v>
      </c>
      <c r="D1992" s="80">
        <v>4500</v>
      </c>
      <c r="E1992" s="76">
        <f t="shared" si="12"/>
        <v>4515</v>
      </c>
    </row>
    <row r="1993" spans="2:5" ht="15" x14ac:dyDescent="0.2">
      <c r="B1993" s="7" t="s">
        <v>850</v>
      </c>
      <c r="C1993" s="7" t="s">
        <v>323</v>
      </c>
      <c r="D1993" s="81">
        <v>148000</v>
      </c>
      <c r="E1993" s="76">
        <f t="shared" si="12"/>
        <v>148015</v>
      </c>
    </row>
    <row r="1994" spans="2:5" ht="15" x14ac:dyDescent="0.2">
      <c r="B1994" s="7" t="s">
        <v>749</v>
      </c>
      <c r="C1994" s="7" t="s">
        <v>37</v>
      </c>
      <c r="D1994" s="82">
        <v>51000</v>
      </c>
      <c r="E1994" s="76">
        <f t="shared" si="12"/>
        <v>51015</v>
      </c>
    </row>
    <row r="1995" spans="2:5" ht="15" x14ac:dyDescent="0.2">
      <c r="B1995" s="7" t="s">
        <v>751</v>
      </c>
      <c r="C1995" s="7" t="s">
        <v>6</v>
      </c>
      <c r="D1995" s="82">
        <v>57000</v>
      </c>
      <c r="E1995" s="76">
        <f t="shared" si="12"/>
        <v>57015</v>
      </c>
    </row>
    <row r="1996" spans="2:5" ht="15" x14ac:dyDescent="0.2">
      <c r="B1996" s="7" t="s">
        <v>753</v>
      </c>
      <c r="C1996" s="7" t="s">
        <v>6</v>
      </c>
      <c r="D1996" s="82">
        <v>175000</v>
      </c>
      <c r="E1996" s="76">
        <f t="shared" si="12"/>
        <v>175015</v>
      </c>
    </row>
    <row r="1997" spans="2:5" ht="15" x14ac:dyDescent="0.2">
      <c r="B1997" s="7" t="s">
        <v>755</v>
      </c>
      <c r="C1997" s="7" t="s">
        <v>6</v>
      </c>
      <c r="D1997" s="82">
        <v>50000</v>
      </c>
      <c r="E1997" s="76">
        <f t="shared" si="12"/>
        <v>50015</v>
      </c>
    </row>
    <row r="1998" spans="2:5" ht="15" x14ac:dyDescent="0.2">
      <c r="B1998" s="7" t="s">
        <v>757</v>
      </c>
      <c r="C1998" s="7" t="s">
        <v>6</v>
      </c>
      <c r="D1998" s="82">
        <v>55000</v>
      </c>
      <c r="E1998" s="76">
        <f t="shared" si="12"/>
        <v>55015</v>
      </c>
    </row>
    <row r="1999" spans="2:5" ht="15" x14ac:dyDescent="0.2">
      <c r="B1999" s="7" t="s">
        <v>759</v>
      </c>
      <c r="C1999" s="7" t="s">
        <v>6</v>
      </c>
      <c r="D1999" s="82">
        <v>30000</v>
      </c>
      <c r="E1999" s="76">
        <f t="shared" si="12"/>
        <v>30015</v>
      </c>
    </row>
    <row r="2000" spans="2:5" ht="15" x14ac:dyDescent="0.2">
      <c r="B2000" s="7" t="s">
        <v>761</v>
      </c>
      <c r="C2000" s="7" t="s">
        <v>6</v>
      </c>
      <c r="D2000" s="82">
        <v>22000</v>
      </c>
      <c r="E2000" s="76">
        <f t="shared" si="12"/>
        <v>22015</v>
      </c>
    </row>
    <row r="2001" spans="2:5" ht="15" x14ac:dyDescent="0.2">
      <c r="B2001" s="7" t="s">
        <v>763</v>
      </c>
      <c r="C2001" s="7" t="s">
        <v>6</v>
      </c>
      <c r="D2001" s="82">
        <v>28000</v>
      </c>
      <c r="E2001" s="76">
        <f t="shared" si="12"/>
        <v>28015</v>
      </c>
    </row>
    <row r="2002" spans="2:5" ht="15" x14ac:dyDescent="0.2">
      <c r="B2002" s="7" t="s">
        <v>765</v>
      </c>
      <c r="C2002" s="7" t="s">
        <v>6</v>
      </c>
      <c r="D2002" s="82">
        <v>33600</v>
      </c>
      <c r="E2002" s="76">
        <f t="shared" si="12"/>
        <v>33615</v>
      </c>
    </row>
    <row r="2003" spans="2:5" ht="15" x14ac:dyDescent="0.2">
      <c r="B2003" s="7" t="s">
        <v>767</v>
      </c>
      <c r="C2003" s="7" t="s">
        <v>6</v>
      </c>
      <c r="D2003" s="82">
        <v>31700</v>
      </c>
      <c r="E2003" s="76">
        <f t="shared" si="12"/>
        <v>31715</v>
      </c>
    </row>
    <row r="2004" spans="2:5" ht="15" x14ac:dyDescent="0.2">
      <c r="B2004" s="7" t="s">
        <v>769</v>
      </c>
      <c r="C2004" s="7" t="s">
        <v>6</v>
      </c>
      <c r="D2004" s="82">
        <v>15000</v>
      </c>
      <c r="E2004" s="76">
        <f t="shared" si="12"/>
        <v>15015</v>
      </c>
    </row>
    <row r="2005" spans="2:5" ht="15" x14ac:dyDescent="0.2">
      <c r="B2005" s="7" t="s">
        <v>771</v>
      </c>
      <c r="C2005" s="7" t="s">
        <v>6</v>
      </c>
      <c r="D2005" s="82">
        <v>14200</v>
      </c>
      <c r="E2005" s="76">
        <f t="shared" si="12"/>
        <v>14215</v>
      </c>
    </row>
    <row r="2006" spans="2:5" ht="15" x14ac:dyDescent="0.2">
      <c r="B2006" s="7" t="s">
        <v>773</v>
      </c>
      <c r="C2006" s="7" t="s">
        <v>3</v>
      </c>
      <c r="D2006" s="82">
        <v>18400</v>
      </c>
      <c r="E2006" s="76">
        <f t="shared" si="12"/>
        <v>18415</v>
      </c>
    </row>
    <row r="2007" spans="2:5" ht="15" x14ac:dyDescent="0.2">
      <c r="B2007" s="7" t="s">
        <v>775</v>
      </c>
      <c r="C2007" s="7" t="s">
        <v>3</v>
      </c>
      <c r="D2007" s="82">
        <v>24500</v>
      </c>
      <c r="E2007" s="76">
        <f t="shared" si="12"/>
        <v>24515</v>
      </c>
    </row>
    <row r="2008" spans="2:5" ht="15" x14ac:dyDescent="0.2">
      <c r="B2008" s="7" t="s">
        <v>777</v>
      </c>
      <c r="C2008" s="7" t="s">
        <v>6</v>
      </c>
      <c r="D2008" s="82">
        <v>5300</v>
      </c>
      <c r="E2008" s="76">
        <f t="shared" si="12"/>
        <v>5315</v>
      </c>
    </row>
    <row r="2009" spans="2:5" ht="15" x14ac:dyDescent="0.2">
      <c r="B2009" s="7" t="s">
        <v>779</v>
      </c>
      <c r="C2009" s="7" t="s">
        <v>6</v>
      </c>
      <c r="D2009" s="82">
        <v>19200</v>
      </c>
      <c r="E2009" s="76">
        <f t="shared" si="12"/>
        <v>19215</v>
      </c>
    </row>
    <row r="2010" spans="2:5" ht="15" x14ac:dyDescent="0.2">
      <c r="B2010" s="7" t="s">
        <v>781</v>
      </c>
      <c r="C2010" s="7" t="s">
        <v>3</v>
      </c>
      <c r="D2010" s="82">
        <v>58000</v>
      </c>
      <c r="E2010" s="76">
        <f t="shared" si="12"/>
        <v>58015</v>
      </c>
    </row>
    <row r="2011" spans="2:5" ht="15" x14ac:dyDescent="0.2">
      <c r="B2011" s="7" t="s">
        <v>783</v>
      </c>
      <c r="C2011" s="7" t="s">
        <v>6</v>
      </c>
      <c r="D2011" s="82">
        <v>180000</v>
      </c>
      <c r="E2011" s="76">
        <f t="shared" si="12"/>
        <v>180015</v>
      </c>
    </row>
    <row r="2012" spans="2:5" ht="15" x14ac:dyDescent="0.2">
      <c r="B2012" s="7" t="s">
        <v>785</v>
      </c>
      <c r="C2012" s="7" t="s">
        <v>6</v>
      </c>
      <c r="D2012" s="82">
        <v>40000</v>
      </c>
      <c r="E2012" s="76">
        <f t="shared" si="12"/>
        <v>40015</v>
      </c>
    </row>
    <row r="2013" spans="2:5" ht="15" x14ac:dyDescent="0.2">
      <c r="B2013" s="7" t="s">
        <v>787</v>
      </c>
      <c r="C2013" s="7" t="s">
        <v>6</v>
      </c>
      <c r="D2013" s="82">
        <v>57000</v>
      </c>
      <c r="E2013" s="76">
        <f t="shared" si="12"/>
        <v>57015</v>
      </c>
    </row>
    <row r="2014" spans="2:5" ht="15" x14ac:dyDescent="0.2">
      <c r="B2014" s="7" t="s">
        <v>789</v>
      </c>
      <c r="C2014" s="7" t="s">
        <v>6</v>
      </c>
      <c r="D2014" s="82">
        <v>27000</v>
      </c>
      <c r="E2014" s="76">
        <f t="shared" si="12"/>
        <v>27015</v>
      </c>
    </row>
    <row r="2015" spans="2:5" ht="15" x14ac:dyDescent="0.2">
      <c r="B2015" s="7" t="s">
        <v>791</v>
      </c>
      <c r="C2015" s="7" t="s">
        <v>6</v>
      </c>
      <c r="D2015" s="82">
        <v>30000</v>
      </c>
      <c r="E2015" s="76">
        <f t="shared" si="12"/>
        <v>30015</v>
      </c>
    </row>
    <row r="2016" spans="2:5" ht="15" x14ac:dyDescent="0.2">
      <c r="B2016" s="7" t="s">
        <v>793</v>
      </c>
      <c r="C2016" s="7" t="s">
        <v>3</v>
      </c>
      <c r="D2016" s="82">
        <v>25500</v>
      </c>
      <c r="E2016" s="76">
        <f t="shared" si="12"/>
        <v>25515</v>
      </c>
    </row>
    <row r="2017" spans="2:5" ht="15" x14ac:dyDescent="0.2">
      <c r="B2017" s="7" t="s">
        <v>795</v>
      </c>
      <c r="C2017" s="7" t="s">
        <v>6</v>
      </c>
      <c r="D2017" s="82">
        <v>19000</v>
      </c>
      <c r="E2017" s="76">
        <f t="shared" si="12"/>
        <v>19015</v>
      </c>
    </row>
    <row r="2018" spans="2:5" ht="15" x14ac:dyDescent="0.2">
      <c r="B2018" s="7" t="s">
        <v>797</v>
      </c>
      <c r="C2018" s="7" t="s">
        <v>12</v>
      </c>
      <c r="D2018" s="82">
        <v>26000</v>
      </c>
      <c r="E2018" s="76">
        <f t="shared" si="12"/>
        <v>26015</v>
      </c>
    </row>
    <row r="2019" spans="2:5" ht="15" x14ac:dyDescent="0.2">
      <c r="B2019" s="7" t="s">
        <v>799</v>
      </c>
      <c r="C2019" s="7" t="s">
        <v>37</v>
      </c>
      <c r="D2019" s="82">
        <v>41000</v>
      </c>
      <c r="E2019" s="76">
        <f t="shared" si="12"/>
        <v>41015</v>
      </c>
    </row>
    <row r="2020" spans="2:5" ht="15" x14ac:dyDescent="0.2">
      <c r="B2020" s="7" t="s">
        <v>801</v>
      </c>
      <c r="C2020" s="7" t="s">
        <v>37</v>
      </c>
      <c r="D2020" s="82">
        <v>155000</v>
      </c>
      <c r="E2020" s="76">
        <f t="shared" si="12"/>
        <v>155015</v>
      </c>
    </row>
    <row r="2021" spans="2:5" ht="15" x14ac:dyDescent="0.2">
      <c r="B2021" s="7" t="s">
        <v>803</v>
      </c>
      <c r="C2021" s="7" t="s">
        <v>37</v>
      </c>
      <c r="D2021" s="82">
        <v>120000</v>
      </c>
      <c r="E2021" s="76">
        <f t="shared" si="12"/>
        <v>120015</v>
      </c>
    </row>
    <row r="2022" spans="2:5" ht="15" x14ac:dyDescent="0.2">
      <c r="B2022" s="7" t="s">
        <v>805</v>
      </c>
      <c r="C2022" s="7" t="s">
        <v>37</v>
      </c>
      <c r="D2022" s="82">
        <v>150000</v>
      </c>
      <c r="E2022" s="76">
        <f t="shared" si="12"/>
        <v>150015</v>
      </c>
    </row>
    <row r="2023" spans="2:5" ht="15" x14ac:dyDescent="0.2">
      <c r="B2023" s="7" t="s">
        <v>807</v>
      </c>
      <c r="C2023" s="7" t="s">
        <v>6</v>
      </c>
      <c r="D2023" s="82">
        <v>42000</v>
      </c>
      <c r="E2023" s="76">
        <f t="shared" si="12"/>
        <v>42015</v>
      </c>
    </row>
    <row r="2024" spans="2:5" ht="15" x14ac:dyDescent="0.2">
      <c r="B2024" s="7" t="s">
        <v>809</v>
      </c>
      <c r="C2024" s="7" t="s">
        <v>6</v>
      </c>
      <c r="D2024" s="82">
        <v>32500</v>
      </c>
      <c r="E2024" s="76">
        <f t="shared" si="12"/>
        <v>32515</v>
      </c>
    </row>
    <row r="2025" spans="2:5" ht="15" x14ac:dyDescent="0.2">
      <c r="B2025" s="7" t="s">
        <v>811</v>
      </c>
      <c r="C2025" s="7" t="s">
        <v>6</v>
      </c>
      <c r="D2025" s="82">
        <v>18500</v>
      </c>
      <c r="E2025" s="76">
        <f t="shared" si="12"/>
        <v>18515</v>
      </c>
    </row>
    <row r="2026" spans="2:5" ht="15" x14ac:dyDescent="0.2">
      <c r="B2026" s="7" t="s">
        <v>813</v>
      </c>
      <c r="C2026" s="7" t="s">
        <v>3</v>
      </c>
      <c r="D2026" s="82">
        <v>55000</v>
      </c>
      <c r="E2026" s="76">
        <f t="shared" si="12"/>
        <v>55015</v>
      </c>
    </row>
    <row r="2027" spans="2:5" ht="15" x14ac:dyDescent="0.2">
      <c r="B2027" s="7" t="s">
        <v>815</v>
      </c>
      <c r="C2027" s="7" t="s">
        <v>3</v>
      </c>
      <c r="D2027" s="82">
        <v>13800</v>
      </c>
      <c r="E2027" s="76">
        <f t="shared" si="12"/>
        <v>13815</v>
      </c>
    </row>
    <row r="2028" spans="2:5" ht="15" x14ac:dyDescent="0.2">
      <c r="B2028" s="7" t="s">
        <v>817</v>
      </c>
      <c r="C2028" s="7" t="s">
        <v>12</v>
      </c>
      <c r="D2028" s="82">
        <v>8200</v>
      </c>
      <c r="E2028" s="76">
        <f t="shared" si="12"/>
        <v>8215</v>
      </c>
    </row>
    <row r="2029" spans="2:5" ht="15" x14ac:dyDescent="0.2">
      <c r="B2029" s="7" t="s">
        <v>819</v>
      </c>
      <c r="C2029" s="7" t="s">
        <v>37</v>
      </c>
      <c r="D2029" s="82">
        <v>50000</v>
      </c>
      <c r="E2029" s="76">
        <f t="shared" si="12"/>
        <v>50015</v>
      </c>
    </row>
    <row r="2030" spans="2:5" ht="15" x14ac:dyDescent="0.2">
      <c r="B2030" s="7" t="s">
        <v>821</v>
      </c>
      <c r="C2030" s="7" t="s">
        <v>12</v>
      </c>
      <c r="D2030" s="82">
        <v>24000</v>
      </c>
      <c r="E2030" s="76">
        <f t="shared" si="12"/>
        <v>24015</v>
      </c>
    </row>
    <row r="2031" spans="2:5" ht="15" x14ac:dyDescent="0.2">
      <c r="B2031" s="7"/>
      <c r="C2031" s="7"/>
      <c r="D2031" s="82"/>
      <c r="E2031" s="76"/>
    </row>
    <row r="2032" spans="2:5" ht="15" x14ac:dyDescent="0.2">
      <c r="B2032" s="7"/>
      <c r="C2032" s="7"/>
      <c r="D2032" s="82"/>
      <c r="E2032" s="76"/>
    </row>
    <row r="2033" spans="2:5" ht="15" x14ac:dyDescent="0.2">
      <c r="B2033" s="7"/>
      <c r="C2033" s="7"/>
      <c r="D2033" s="82"/>
      <c r="E2033" s="76"/>
    </row>
    <row r="2034" spans="2:5" ht="15" x14ac:dyDescent="0.2">
      <c r="B2034" s="7"/>
      <c r="C2034" s="7"/>
      <c r="D2034" s="82"/>
      <c r="E2034" s="76"/>
    </row>
    <row r="2035" spans="2:5" ht="15" x14ac:dyDescent="0.2">
      <c r="B2035" s="7"/>
      <c r="C2035" s="7"/>
      <c r="D2035" s="82"/>
      <c r="E2035" s="76"/>
    </row>
    <row r="2036" spans="2:5" ht="15" x14ac:dyDescent="0.2">
      <c r="B2036" s="7"/>
      <c r="C2036" s="7"/>
      <c r="D2036" s="82"/>
      <c r="E2036" s="76"/>
    </row>
    <row r="2037" spans="2:5" ht="15" x14ac:dyDescent="0.2">
      <c r="B2037" s="7"/>
      <c r="C2037" s="7"/>
      <c r="D2037" s="82"/>
      <c r="E2037" s="76"/>
    </row>
    <row r="2038" spans="2:5" ht="15" x14ac:dyDescent="0.2">
      <c r="B2038" s="7"/>
      <c r="C2038" s="7"/>
      <c r="D2038" s="82"/>
      <c r="E2038" s="76"/>
    </row>
    <row r="2039" spans="2:5" ht="15" x14ac:dyDescent="0.2">
      <c r="B2039" s="7"/>
      <c r="C2039" s="7"/>
      <c r="D2039" s="82"/>
      <c r="E2039" s="76"/>
    </row>
    <row r="2040" spans="2:5" ht="15" x14ac:dyDescent="0.2">
      <c r="B2040" s="7"/>
      <c r="C2040" s="7"/>
      <c r="D2040" s="82"/>
      <c r="E2040" s="76"/>
    </row>
    <row r="2041" spans="2:5" ht="15" x14ac:dyDescent="0.2">
      <c r="B2041" s="7"/>
      <c r="C2041" s="7"/>
      <c r="D2041" s="82"/>
      <c r="E2041" s="76"/>
    </row>
    <row r="2042" spans="2:5" ht="15" x14ac:dyDescent="0.2">
      <c r="B2042" s="7"/>
      <c r="C2042" s="7"/>
      <c r="D2042" s="82"/>
      <c r="E2042" s="76"/>
    </row>
    <row r="2043" spans="2:5" ht="15" x14ac:dyDescent="0.2">
      <c r="B2043" s="7"/>
      <c r="C2043" s="7"/>
      <c r="D2043" s="82"/>
      <c r="E2043" s="76"/>
    </row>
    <row r="2044" spans="2:5" ht="15" x14ac:dyDescent="0.2">
      <c r="B2044" s="7"/>
      <c r="C2044" s="7"/>
      <c r="D2044" s="82"/>
      <c r="E2044" s="76"/>
    </row>
    <row r="2045" spans="2:5" ht="15" x14ac:dyDescent="0.2">
      <c r="B2045" s="7"/>
      <c r="C2045" s="7"/>
      <c r="D2045" s="82"/>
      <c r="E2045" s="76"/>
    </row>
    <row r="2046" spans="2:5" ht="15" x14ac:dyDescent="0.2">
      <c r="B2046" s="7"/>
      <c r="C2046" s="7"/>
      <c r="D2046" s="82"/>
      <c r="E2046" s="76"/>
    </row>
    <row r="2047" spans="2:5" ht="15" x14ac:dyDescent="0.2">
      <c r="B2047" s="7"/>
      <c r="C2047" s="7"/>
      <c r="D2047" s="82"/>
      <c r="E2047" s="76"/>
    </row>
    <row r="2048" spans="2:5" ht="15" x14ac:dyDescent="0.2">
      <c r="B2048" s="7"/>
      <c r="C2048" s="7"/>
      <c r="D2048" s="82"/>
      <c r="E2048" s="76"/>
    </row>
    <row r="2049" spans="2:5" ht="15" x14ac:dyDescent="0.2">
      <c r="B2049" s="7"/>
      <c r="C2049" s="7"/>
      <c r="D2049" s="82"/>
      <c r="E2049" s="76"/>
    </row>
    <row r="2050" spans="2:5" ht="15" x14ac:dyDescent="0.2">
      <c r="B2050" s="7"/>
      <c r="C2050" s="7"/>
      <c r="D2050" s="82"/>
      <c r="E2050" s="76"/>
    </row>
    <row r="2051" spans="2:5" ht="15" x14ac:dyDescent="0.2">
      <c r="B2051" s="7"/>
      <c r="C2051" s="7"/>
      <c r="D2051" s="82"/>
      <c r="E2051" s="76"/>
    </row>
    <row r="2052" spans="2:5" ht="15" x14ac:dyDescent="0.2">
      <c r="B2052" s="7"/>
      <c r="C2052" s="7"/>
      <c r="D2052" s="82"/>
      <c r="E2052" s="76"/>
    </row>
    <row r="2053" spans="2:5" ht="15" x14ac:dyDescent="0.2">
      <c r="B2053" s="7"/>
      <c r="C2053" s="7"/>
      <c r="D2053" s="82"/>
      <c r="E2053" s="76"/>
    </row>
    <row r="2054" spans="2:5" ht="15" x14ac:dyDescent="0.2">
      <c r="B2054" s="7"/>
      <c r="C2054" s="7"/>
      <c r="D2054" s="82"/>
      <c r="E2054" s="76"/>
    </row>
    <row r="2055" spans="2:5" ht="15" x14ac:dyDescent="0.2">
      <c r="B2055" s="7"/>
      <c r="C2055" s="7"/>
      <c r="D2055" s="82"/>
      <c r="E2055" s="76"/>
    </row>
    <row r="2056" spans="2:5" ht="15" x14ac:dyDescent="0.2">
      <c r="B2056" s="7"/>
      <c r="C2056" s="7"/>
      <c r="D2056" s="82"/>
      <c r="E2056" s="76"/>
    </row>
    <row r="2057" spans="2:5" ht="15" x14ac:dyDescent="0.2">
      <c r="B2057" s="7"/>
      <c r="C2057" s="7"/>
      <c r="D2057" s="82"/>
      <c r="E2057" s="76"/>
    </row>
    <row r="2058" spans="2:5" ht="15" x14ac:dyDescent="0.2">
      <c r="B2058" s="7"/>
      <c r="C2058" s="7"/>
      <c r="D2058" s="82"/>
      <c r="E2058" s="76"/>
    </row>
    <row r="2059" spans="2:5" ht="15" x14ac:dyDescent="0.2">
      <c r="B2059" s="7"/>
      <c r="C2059" s="7"/>
      <c r="D2059" s="82"/>
      <c r="E2059" s="76"/>
    </row>
    <row r="2060" spans="2:5" ht="15" x14ac:dyDescent="0.2">
      <c r="B2060" s="7"/>
      <c r="C2060" s="7"/>
      <c r="D2060" s="82"/>
      <c r="E2060" s="76"/>
    </row>
    <row r="2061" spans="2:5" ht="15" x14ac:dyDescent="0.2">
      <c r="B2061" s="7"/>
      <c r="C2061" s="7"/>
      <c r="D2061" s="82"/>
      <c r="E2061" s="76"/>
    </row>
    <row r="2062" spans="2:5" ht="15" x14ac:dyDescent="0.2">
      <c r="B2062" s="7"/>
      <c r="C2062" s="7"/>
      <c r="D2062" s="82"/>
      <c r="E2062" s="76"/>
    </row>
    <row r="2063" spans="2:5" ht="15" x14ac:dyDescent="0.2">
      <c r="B2063" s="7"/>
      <c r="C2063" s="7"/>
      <c r="D2063" s="82"/>
      <c r="E2063" s="76"/>
    </row>
    <row r="2064" spans="2:5" ht="15" x14ac:dyDescent="0.2">
      <c r="B2064" s="7"/>
      <c r="C2064" s="7"/>
      <c r="D2064" s="82"/>
      <c r="E2064" s="76"/>
    </row>
    <row r="2065" spans="2:5" ht="15" x14ac:dyDescent="0.2">
      <c r="B2065" s="7"/>
      <c r="C2065" s="7"/>
      <c r="D2065" s="82"/>
      <c r="E2065" s="76"/>
    </row>
    <row r="2066" spans="2:5" ht="15" x14ac:dyDescent="0.2">
      <c r="B2066" s="7"/>
      <c r="C2066" s="7"/>
      <c r="D2066" s="82"/>
      <c r="E2066" s="76"/>
    </row>
    <row r="2067" spans="2:5" ht="15" x14ac:dyDescent="0.2">
      <c r="B2067" s="7"/>
      <c r="C2067" s="7"/>
      <c r="D2067" s="82"/>
      <c r="E2067" s="76"/>
    </row>
    <row r="2068" spans="2:5" ht="15" x14ac:dyDescent="0.2">
      <c r="B2068" s="7"/>
      <c r="C2068" s="7"/>
      <c r="D2068" s="82"/>
      <c r="E2068" s="76"/>
    </row>
    <row r="2069" spans="2:5" ht="15" x14ac:dyDescent="0.2">
      <c r="B2069" s="7"/>
      <c r="C2069" s="7"/>
      <c r="D2069" s="82"/>
      <c r="E2069" s="76"/>
    </row>
    <row r="2070" spans="2:5" ht="15" x14ac:dyDescent="0.2">
      <c r="B2070" s="7"/>
      <c r="C2070" s="7"/>
      <c r="D2070" s="82"/>
      <c r="E2070" s="76"/>
    </row>
    <row r="2071" spans="2:5" ht="15" x14ac:dyDescent="0.2">
      <c r="B2071" s="7"/>
      <c r="C2071" s="7"/>
      <c r="D2071" s="82"/>
      <c r="E2071" s="76"/>
    </row>
    <row r="2072" spans="2:5" ht="15" x14ac:dyDescent="0.2">
      <c r="B2072" s="7"/>
      <c r="C2072" s="7"/>
      <c r="D2072" s="82"/>
      <c r="E2072" s="76"/>
    </row>
    <row r="2073" spans="2:5" ht="15" x14ac:dyDescent="0.2">
      <c r="B2073" s="7"/>
      <c r="C2073" s="7"/>
      <c r="D2073" s="82"/>
      <c r="E2073" s="76"/>
    </row>
    <row r="2074" spans="2:5" ht="15" x14ac:dyDescent="0.2">
      <c r="B2074" s="7"/>
      <c r="C2074" s="7"/>
      <c r="D2074" s="82"/>
      <c r="E2074" s="76"/>
    </row>
    <row r="2075" spans="2:5" ht="15" x14ac:dyDescent="0.2">
      <c r="B2075" s="7"/>
      <c r="C2075" s="7"/>
      <c r="D2075" s="82"/>
      <c r="E2075" s="76"/>
    </row>
    <row r="2076" spans="2:5" ht="15" x14ac:dyDescent="0.2">
      <c r="B2076" s="7"/>
      <c r="C2076" s="7"/>
      <c r="D2076" s="82"/>
      <c r="E2076" s="76"/>
    </row>
    <row r="2077" spans="2:5" ht="15" x14ac:dyDescent="0.2">
      <c r="B2077" s="7"/>
      <c r="C2077" s="7"/>
      <c r="D2077" s="82"/>
      <c r="E2077" s="76"/>
    </row>
    <row r="2078" spans="2:5" ht="15" x14ac:dyDescent="0.2">
      <c r="B2078" s="7"/>
      <c r="C2078" s="7"/>
      <c r="D2078" s="82"/>
      <c r="E2078" s="76"/>
    </row>
    <row r="2079" spans="2:5" ht="15" x14ac:dyDescent="0.2">
      <c r="B2079" s="7"/>
      <c r="C2079" s="7"/>
      <c r="D2079" s="82"/>
      <c r="E2079" s="76"/>
    </row>
    <row r="2080" spans="2:5" ht="15" x14ac:dyDescent="0.2">
      <c r="B2080" s="7"/>
      <c r="C2080" s="7"/>
      <c r="D2080" s="82"/>
      <c r="E2080" s="76"/>
    </row>
    <row r="2081" spans="2:5" ht="15" x14ac:dyDescent="0.2">
      <c r="B2081" s="7"/>
      <c r="C2081" s="7"/>
      <c r="D2081" s="82"/>
      <c r="E2081" s="76"/>
    </row>
    <row r="2082" spans="2:5" ht="15" x14ac:dyDescent="0.2">
      <c r="B2082" s="7"/>
      <c r="C2082" s="7"/>
      <c r="D2082" s="82"/>
      <c r="E2082" s="76"/>
    </row>
    <row r="2083" spans="2:5" ht="15" x14ac:dyDescent="0.2">
      <c r="B2083" s="7"/>
      <c r="C2083" s="7"/>
      <c r="D2083" s="82"/>
      <c r="E2083" s="76"/>
    </row>
    <row r="2084" spans="2:5" ht="15" x14ac:dyDescent="0.2">
      <c r="B2084" s="7"/>
      <c r="C2084" s="7"/>
      <c r="D2084" s="82"/>
      <c r="E2084" s="76"/>
    </row>
    <row r="2085" spans="2:5" ht="15" x14ac:dyDescent="0.2">
      <c r="B2085" s="7"/>
      <c r="C2085" s="7"/>
      <c r="D2085" s="82"/>
      <c r="E2085" s="76"/>
    </row>
    <row r="2086" spans="2:5" ht="15" x14ac:dyDescent="0.2">
      <c r="B2086" s="7"/>
      <c r="C2086" s="7"/>
      <c r="D2086" s="82"/>
      <c r="E2086" s="76"/>
    </row>
    <row r="2087" spans="2:5" ht="15" x14ac:dyDescent="0.2">
      <c r="B2087" s="7"/>
      <c r="C2087" s="7"/>
      <c r="D2087" s="82"/>
      <c r="E2087" s="76"/>
    </row>
    <row r="2088" spans="2:5" ht="15" x14ac:dyDescent="0.2">
      <c r="B2088" s="7"/>
      <c r="C2088" s="7"/>
      <c r="D2088" s="82"/>
      <c r="E2088" s="76"/>
    </row>
    <row r="2089" spans="2:5" ht="15" x14ac:dyDescent="0.2">
      <c r="B2089" s="7"/>
      <c r="C2089" s="7"/>
      <c r="D2089" s="82"/>
      <c r="E2089" s="76"/>
    </row>
    <row r="2090" spans="2:5" ht="15" x14ac:dyDescent="0.2">
      <c r="B2090" s="7"/>
      <c r="C2090" s="7"/>
      <c r="D2090" s="82"/>
      <c r="E2090" s="76"/>
    </row>
    <row r="2091" spans="2:5" ht="15" x14ac:dyDescent="0.2">
      <c r="B2091" s="7"/>
      <c r="C2091" s="7"/>
      <c r="D2091" s="82"/>
      <c r="E2091" s="76"/>
    </row>
    <row r="2092" spans="2:5" ht="15" x14ac:dyDescent="0.2">
      <c r="B2092" s="7"/>
      <c r="C2092" s="7"/>
      <c r="D2092" s="82"/>
      <c r="E2092" s="76"/>
    </row>
    <row r="2093" spans="2:5" ht="15" x14ac:dyDescent="0.2">
      <c r="B2093" s="7"/>
      <c r="C2093" s="7"/>
      <c r="D2093" s="82"/>
      <c r="E2093" s="76"/>
    </row>
    <row r="2094" spans="2:5" ht="15" x14ac:dyDescent="0.2">
      <c r="B2094" s="7"/>
      <c r="C2094" s="7"/>
      <c r="D2094" s="82"/>
      <c r="E2094" s="76"/>
    </row>
    <row r="2095" spans="2:5" ht="15" x14ac:dyDescent="0.2">
      <c r="B2095" s="7"/>
      <c r="C2095" s="7"/>
      <c r="D2095" s="82"/>
      <c r="E2095" s="76"/>
    </row>
    <row r="2096" spans="2:5" ht="15" x14ac:dyDescent="0.2">
      <c r="B2096" s="7"/>
      <c r="C2096" s="7"/>
      <c r="D2096" s="82"/>
      <c r="E2096" s="76"/>
    </row>
    <row r="2097" spans="2:5" ht="15" x14ac:dyDescent="0.2">
      <c r="B2097" s="7"/>
      <c r="C2097" s="7"/>
      <c r="D2097" s="82"/>
      <c r="E2097" s="76"/>
    </row>
    <row r="2098" spans="2:5" ht="15" x14ac:dyDescent="0.2">
      <c r="B2098" s="7"/>
      <c r="C2098" s="7"/>
      <c r="D2098" s="82"/>
      <c r="E2098" s="76"/>
    </row>
    <row r="2099" spans="2:5" ht="15" x14ac:dyDescent="0.2">
      <c r="B2099" s="7"/>
      <c r="C2099" s="7"/>
      <c r="D2099" s="82"/>
      <c r="E2099" s="76"/>
    </row>
    <row r="2100" spans="2:5" ht="15" x14ac:dyDescent="0.2">
      <c r="B2100" s="7"/>
      <c r="C2100" s="7"/>
      <c r="D2100" s="82"/>
      <c r="E2100" s="76"/>
    </row>
    <row r="2101" spans="2:5" ht="15" x14ac:dyDescent="0.2">
      <c r="B2101" s="7"/>
      <c r="C2101" s="7"/>
      <c r="D2101" s="82"/>
      <c r="E2101" s="76"/>
    </row>
    <row r="2102" spans="2:5" ht="15" x14ac:dyDescent="0.2">
      <c r="B2102" s="7"/>
      <c r="C2102" s="7"/>
      <c r="D2102" s="82"/>
      <c r="E2102" s="76"/>
    </row>
    <row r="2103" spans="2:5" ht="15" x14ac:dyDescent="0.2">
      <c r="B2103" s="7"/>
      <c r="C2103" s="7"/>
      <c r="D2103" s="82"/>
      <c r="E2103" s="76"/>
    </row>
    <row r="2104" spans="2:5" ht="15" x14ac:dyDescent="0.2">
      <c r="B2104" s="7"/>
      <c r="C2104" s="7"/>
      <c r="D2104" s="82"/>
      <c r="E2104" s="76"/>
    </row>
    <row r="2105" spans="2:5" ht="15" x14ac:dyDescent="0.2">
      <c r="B2105" s="7"/>
      <c r="C2105" s="7"/>
      <c r="D2105" s="82"/>
      <c r="E2105" s="76"/>
    </row>
    <row r="2106" spans="2:5" ht="15" x14ac:dyDescent="0.2">
      <c r="B2106" s="7"/>
      <c r="C2106" s="7"/>
      <c r="D2106" s="82"/>
      <c r="E2106" s="76"/>
    </row>
    <row r="2107" spans="2:5" ht="15" x14ac:dyDescent="0.2">
      <c r="B2107" s="7"/>
      <c r="C2107" s="7"/>
      <c r="D2107" s="82"/>
      <c r="E2107" s="76"/>
    </row>
    <row r="2108" spans="2:5" ht="15" x14ac:dyDescent="0.2">
      <c r="B2108" s="7"/>
      <c r="C2108" s="7"/>
      <c r="D2108" s="82"/>
      <c r="E2108" s="76"/>
    </row>
    <row r="2109" spans="2:5" ht="15" x14ac:dyDescent="0.2">
      <c r="B2109" s="7"/>
      <c r="C2109" s="7"/>
      <c r="D2109" s="82"/>
      <c r="E2109" s="76"/>
    </row>
    <row r="2110" spans="2:5" ht="15" x14ac:dyDescent="0.2">
      <c r="B2110" s="7"/>
      <c r="C2110" s="7"/>
      <c r="D2110" s="82"/>
      <c r="E2110" s="76"/>
    </row>
    <row r="2111" spans="2:5" ht="15" x14ac:dyDescent="0.2">
      <c r="B2111" s="7"/>
      <c r="C2111" s="7"/>
      <c r="D2111" s="82"/>
      <c r="E2111" s="76"/>
    </row>
    <row r="2112" spans="2:5" ht="15" x14ac:dyDescent="0.2">
      <c r="B2112" s="7"/>
      <c r="C2112" s="7"/>
      <c r="D2112" s="82"/>
      <c r="E2112" s="76"/>
    </row>
    <row r="2113" spans="2:5" ht="15" x14ac:dyDescent="0.2">
      <c r="B2113" s="7"/>
      <c r="C2113" s="7"/>
      <c r="D2113" s="82"/>
      <c r="E2113" s="76"/>
    </row>
    <row r="2114" spans="2:5" ht="15" x14ac:dyDescent="0.2">
      <c r="B2114" s="7"/>
      <c r="C2114" s="7"/>
      <c r="D2114" s="82"/>
      <c r="E2114" s="76"/>
    </row>
    <row r="2115" spans="2:5" ht="15" x14ac:dyDescent="0.2">
      <c r="B2115" s="7"/>
      <c r="C2115" s="7"/>
      <c r="D2115" s="82"/>
      <c r="E2115" s="76"/>
    </row>
    <row r="2116" spans="2:5" ht="15" x14ac:dyDescent="0.2">
      <c r="B2116" s="7"/>
      <c r="C2116" s="7"/>
      <c r="D2116" s="82"/>
      <c r="E2116" s="76"/>
    </row>
    <row r="2117" spans="2:5" ht="15" x14ac:dyDescent="0.2">
      <c r="B2117" s="7"/>
      <c r="C2117" s="7"/>
      <c r="D2117" s="82"/>
      <c r="E2117" s="76"/>
    </row>
    <row r="2118" spans="2:5" ht="15" x14ac:dyDescent="0.2">
      <c r="B2118" s="7"/>
      <c r="C2118" s="7"/>
      <c r="D2118" s="82"/>
      <c r="E2118" s="76"/>
    </row>
    <row r="2119" spans="2:5" ht="15" x14ac:dyDescent="0.2">
      <c r="B2119" s="7"/>
      <c r="C2119" s="7"/>
      <c r="D2119" s="82"/>
      <c r="E2119" s="76"/>
    </row>
    <row r="2120" spans="2:5" ht="15" x14ac:dyDescent="0.2">
      <c r="B2120" s="7"/>
      <c r="C2120" s="7"/>
      <c r="D2120" s="82"/>
      <c r="E2120" s="76"/>
    </row>
    <row r="2121" spans="2:5" ht="15" x14ac:dyDescent="0.2">
      <c r="B2121" s="7"/>
      <c r="C2121" s="7"/>
      <c r="D2121" s="82"/>
      <c r="E2121" s="76"/>
    </row>
    <row r="2122" spans="2:5" ht="15" x14ac:dyDescent="0.2">
      <c r="B2122" s="7"/>
      <c r="C2122" s="7"/>
      <c r="D2122" s="82"/>
      <c r="E2122" s="76"/>
    </row>
    <row r="2123" spans="2:5" ht="15" x14ac:dyDescent="0.2">
      <c r="B2123" s="7"/>
      <c r="C2123" s="7"/>
      <c r="D2123" s="82"/>
      <c r="E2123" s="76"/>
    </row>
    <row r="2124" spans="2:5" ht="15" x14ac:dyDescent="0.2">
      <c r="B2124" s="7"/>
      <c r="C2124" s="7"/>
      <c r="D2124" s="82"/>
      <c r="E2124" s="76"/>
    </row>
    <row r="2125" spans="2:5" ht="15" x14ac:dyDescent="0.2">
      <c r="B2125" s="7"/>
      <c r="C2125" s="7"/>
      <c r="D2125" s="82"/>
      <c r="E2125" s="76"/>
    </row>
    <row r="2126" spans="2:5" ht="15" x14ac:dyDescent="0.2">
      <c r="B2126" s="7"/>
      <c r="C2126" s="7"/>
      <c r="D2126" s="82"/>
      <c r="E2126" s="76"/>
    </row>
    <row r="2127" spans="2:5" ht="15" x14ac:dyDescent="0.2">
      <c r="B2127" s="7"/>
      <c r="C2127" s="7"/>
      <c r="D2127" s="82"/>
      <c r="E2127" s="76"/>
    </row>
    <row r="2128" spans="2:5" ht="15" x14ac:dyDescent="0.2">
      <c r="B2128" s="7"/>
      <c r="C2128" s="7"/>
      <c r="D2128" s="82"/>
      <c r="E2128" s="76"/>
    </row>
    <row r="2129" spans="1:5" ht="15" x14ac:dyDescent="0.2">
      <c r="B2129" s="7"/>
      <c r="C2129" s="7"/>
      <c r="D2129" s="82"/>
      <c r="E2129" s="76"/>
    </row>
    <row r="2130" spans="1:5" ht="15" x14ac:dyDescent="0.2">
      <c r="B2130" s="7"/>
      <c r="C2130" s="7"/>
      <c r="D2130" s="82"/>
      <c r="E2130" s="76"/>
    </row>
    <row r="2131" spans="1:5" ht="15" x14ac:dyDescent="0.2">
      <c r="B2131" s="7"/>
      <c r="C2131" s="7"/>
      <c r="D2131" s="82"/>
      <c r="E2131" s="76"/>
    </row>
    <row r="2132" spans="1:5" ht="15" x14ac:dyDescent="0.2">
      <c r="A2132" s="53" t="s">
        <v>2439</v>
      </c>
      <c r="B2132" s="7" t="s">
        <v>823</v>
      </c>
      <c r="C2132" s="7" t="s">
        <v>6</v>
      </c>
      <c r="D2132" s="82">
        <v>7000</v>
      </c>
      <c r="E2132" s="76">
        <f t="shared" si="12"/>
        <v>7015</v>
      </c>
    </row>
    <row r="2133" spans="1:5" ht="15" x14ac:dyDescent="0.2">
      <c r="B2133" s="7" t="s">
        <v>825</v>
      </c>
      <c r="C2133" s="7" t="s">
        <v>6</v>
      </c>
      <c r="D2133" s="82">
        <v>22000</v>
      </c>
      <c r="E2133" s="76">
        <f t="shared" si="12"/>
        <v>22015</v>
      </c>
    </row>
    <row r="2134" spans="1:5" ht="15" x14ac:dyDescent="0.2">
      <c r="B2134" s="7" t="s">
        <v>827</v>
      </c>
      <c r="C2134" s="7" t="s">
        <v>6</v>
      </c>
      <c r="D2134" s="82">
        <v>15500</v>
      </c>
      <c r="E2134" s="76">
        <f t="shared" si="12"/>
        <v>15515</v>
      </c>
    </row>
    <row r="2135" spans="1:5" ht="15" x14ac:dyDescent="0.2">
      <c r="B2135" s="7" t="s">
        <v>829</v>
      </c>
      <c r="C2135" s="7" t="s">
        <v>3</v>
      </c>
      <c r="D2135" s="82">
        <v>12500</v>
      </c>
      <c r="E2135" s="76">
        <f t="shared" si="12"/>
        <v>12515</v>
      </c>
    </row>
    <row r="2136" spans="1:5" ht="15" x14ac:dyDescent="0.2">
      <c r="B2136" s="7" t="s">
        <v>831</v>
      </c>
      <c r="C2136" s="7" t="s">
        <v>3</v>
      </c>
      <c r="D2136" s="82">
        <v>97500</v>
      </c>
      <c r="E2136" s="76">
        <f t="shared" ref="E2136:E2299" si="13">D2136+15</f>
        <v>97515</v>
      </c>
    </row>
    <row r="2137" spans="1:5" ht="15" x14ac:dyDescent="0.2">
      <c r="B2137" s="7" t="s">
        <v>833</v>
      </c>
      <c r="C2137" s="7" t="s">
        <v>12</v>
      </c>
      <c r="D2137" s="82">
        <v>186000</v>
      </c>
      <c r="E2137" s="76">
        <f t="shared" si="13"/>
        <v>186015</v>
      </c>
    </row>
    <row r="2138" spans="1:5" ht="15" x14ac:dyDescent="0.2">
      <c r="B2138" s="7" t="s">
        <v>835</v>
      </c>
      <c r="C2138" s="7" t="s">
        <v>3</v>
      </c>
      <c r="D2138" s="82">
        <v>186000</v>
      </c>
      <c r="E2138" s="76">
        <f t="shared" si="13"/>
        <v>186015</v>
      </c>
    </row>
    <row r="2139" spans="1:5" ht="15" x14ac:dyDescent="0.2">
      <c r="B2139" s="7" t="s">
        <v>837</v>
      </c>
      <c r="C2139" s="7" t="s">
        <v>3</v>
      </c>
      <c r="D2139" s="82">
        <v>85000</v>
      </c>
      <c r="E2139" s="76">
        <f t="shared" si="13"/>
        <v>85015</v>
      </c>
    </row>
    <row r="2140" spans="1:5" ht="15" x14ac:dyDescent="0.2">
      <c r="B2140" s="7" t="s">
        <v>839</v>
      </c>
      <c r="C2140" s="7" t="s">
        <v>37</v>
      </c>
      <c r="D2140" s="82">
        <v>30000</v>
      </c>
      <c r="E2140" s="76">
        <f t="shared" si="13"/>
        <v>30015</v>
      </c>
    </row>
    <row r="2141" spans="1:5" ht="15" x14ac:dyDescent="0.2">
      <c r="B2141" s="7" t="s">
        <v>841</v>
      </c>
      <c r="C2141" s="7" t="s">
        <v>37</v>
      </c>
      <c r="D2141" s="82">
        <v>24200</v>
      </c>
      <c r="E2141" s="76">
        <f t="shared" si="13"/>
        <v>24215</v>
      </c>
    </row>
    <row r="2142" spans="1:5" ht="15" x14ac:dyDescent="0.2">
      <c r="B2142" s="7" t="s">
        <v>843</v>
      </c>
      <c r="C2142" s="7" t="s">
        <v>37</v>
      </c>
      <c r="D2142" s="82">
        <v>14000</v>
      </c>
      <c r="E2142" s="76">
        <f t="shared" si="13"/>
        <v>14015</v>
      </c>
    </row>
    <row r="2143" spans="1:5" ht="15" x14ac:dyDescent="0.2">
      <c r="B2143" s="7" t="s">
        <v>845</v>
      </c>
      <c r="C2143" s="7" t="s">
        <v>3</v>
      </c>
      <c r="D2143" s="82">
        <v>310000</v>
      </c>
      <c r="E2143" s="76">
        <f t="shared" si="13"/>
        <v>310015</v>
      </c>
    </row>
    <row r="2144" spans="1:5" ht="15" x14ac:dyDescent="0.2">
      <c r="B2144" s="7" t="s">
        <v>847</v>
      </c>
      <c r="C2144" s="7" t="s">
        <v>6</v>
      </c>
      <c r="D2144" s="82">
        <v>110000</v>
      </c>
      <c r="E2144" s="76">
        <f t="shared" si="13"/>
        <v>110015</v>
      </c>
    </row>
    <row r="2145" spans="2:5" ht="15" x14ac:dyDescent="0.2">
      <c r="B2145" s="7" t="s">
        <v>849</v>
      </c>
      <c r="C2145" s="7" t="s">
        <v>6</v>
      </c>
      <c r="D2145" s="82">
        <v>145000</v>
      </c>
      <c r="E2145" s="76">
        <f t="shared" si="13"/>
        <v>145015</v>
      </c>
    </row>
    <row r="2146" spans="2:5" ht="15" x14ac:dyDescent="0.2">
      <c r="B2146" s="7" t="s">
        <v>851</v>
      </c>
      <c r="C2146" s="7" t="s">
        <v>323</v>
      </c>
      <c r="D2146" s="83">
        <v>54000</v>
      </c>
      <c r="E2146" s="76">
        <f t="shared" si="13"/>
        <v>54015</v>
      </c>
    </row>
    <row r="2147" spans="2:5" ht="15" x14ac:dyDescent="0.2">
      <c r="B2147" s="7" t="s">
        <v>852</v>
      </c>
      <c r="C2147" s="7" t="s">
        <v>6</v>
      </c>
      <c r="D2147" s="80">
        <v>167000</v>
      </c>
      <c r="E2147" s="76">
        <f t="shared" si="13"/>
        <v>167015</v>
      </c>
    </row>
    <row r="2148" spans="2:5" ht="15" x14ac:dyDescent="0.2">
      <c r="B2148" s="7" t="s">
        <v>854</v>
      </c>
      <c r="C2148" s="7" t="s">
        <v>6</v>
      </c>
      <c r="D2148" s="80">
        <v>120000</v>
      </c>
      <c r="E2148" s="76">
        <f t="shared" si="13"/>
        <v>120015</v>
      </c>
    </row>
    <row r="2149" spans="2:5" ht="15" x14ac:dyDescent="0.2">
      <c r="B2149" s="7" t="s">
        <v>856</v>
      </c>
      <c r="C2149" s="7" t="s">
        <v>6</v>
      </c>
      <c r="D2149" s="80">
        <v>35000</v>
      </c>
      <c r="E2149" s="76">
        <f t="shared" si="13"/>
        <v>35015</v>
      </c>
    </row>
    <row r="2150" spans="2:5" ht="15" x14ac:dyDescent="0.2">
      <c r="B2150" s="7" t="s">
        <v>858</v>
      </c>
      <c r="C2150" s="7" t="s">
        <v>37</v>
      </c>
      <c r="D2150" s="80">
        <v>29500</v>
      </c>
      <c r="E2150" s="76">
        <f t="shared" si="13"/>
        <v>29515</v>
      </c>
    </row>
    <row r="2151" spans="2:5" ht="15" x14ac:dyDescent="0.2">
      <c r="B2151" s="7" t="s">
        <v>860</v>
      </c>
      <c r="C2151" s="7" t="s">
        <v>37</v>
      </c>
      <c r="D2151" s="80">
        <v>35000</v>
      </c>
      <c r="E2151" s="76">
        <f t="shared" si="13"/>
        <v>35015</v>
      </c>
    </row>
    <row r="2152" spans="2:5" ht="15" x14ac:dyDescent="0.2">
      <c r="B2152" s="7" t="s">
        <v>862</v>
      </c>
      <c r="C2152" s="7" t="s">
        <v>6</v>
      </c>
      <c r="D2152" s="80">
        <v>178000</v>
      </c>
      <c r="E2152" s="76">
        <f t="shared" si="13"/>
        <v>178015</v>
      </c>
    </row>
    <row r="2153" spans="2:5" ht="15" x14ac:dyDescent="0.2">
      <c r="B2153" s="7" t="s">
        <v>864</v>
      </c>
      <c r="C2153" s="7" t="s">
        <v>6</v>
      </c>
      <c r="D2153" s="80">
        <v>5000</v>
      </c>
      <c r="E2153" s="76">
        <f t="shared" si="13"/>
        <v>5015</v>
      </c>
    </row>
    <row r="2154" spans="2:5" ht="15" x14ac:dyDescent="0.2">
      <c r="B2154" s="7" t="s">
        <v>866</v>
      </c>
      <c r="C2154" s="7" t="s">
        <v>6</v>
      </c>
      <c r="D2154" s="80">
        <v>5000</v>
      </c>
      <c r="E2154" s="76">
        <f t="shared" si="13"/>
        <v>5015</v>
      </c>
    </row>
    <row r="2155" spans="2:5" ht="15" x14ac:dyDescent="0.2">
      <c r="B2155" s="7" t="s">
        <v>868</v>
      </c>
      <c r="C2155" s="7" t="s">
        <v>6</v>
      </c>
      <c r="D2155" s="80">
        <v>200000</v>
      </c>
      <c r="E2155" s="76">
        <f t="shared" si="13"/>
        <v>200015</v>
      </c>
    </row>
    <row r="2156" spans="2:5" ht="15" x14ac:dyDescent="0.2">
      <c r="B2156" s="7" t="s">
        <v>870</v>
      </c>
      <c r="C2156" s="7" t="s">
        <v>101</v>
      </c>
      <c r="D2156" s="80">
        <v>99000</v>
      </c>
      <c r="E2156" s="76">
        <f t="shared" si="13"/>
        <v>99015</v>
      </c>
    </row>
    <row r="2157" spans="2:5" ht="15" x14ac:dyDescent="0.2">
      <c r="B2157" s="7" t="s">
        <v>872</v>
      </c>
      <c r="C2157" s="7" t="s">
        <v>3</v>
      </c>
      <c r="D2157" s="80">
        <v>36000</v>
      </c>
      <c r="E2157" s="76">
        <f t="shared" si="13"/>
        <v>36015</v>
      </c>
    </row>
    <row r="2158" spans="2:5" ht="15" x14ac:dyDescent="0.2">
      <c r="B2158" s="7" t="s">
        <v>874</v>
      </c>
      <c r="C2158" s="7" t="s">
        <v>101</v>
      </c>
      <c r="D2158" s="80">
        <v>8000</v>
      </c>
      <c r="E2158" s="76">
        <f t="shared" si="13"/>
        <v>8015</v>
      </c>
    </row>
    <row r="2159" spans="2:5" ht="15" x14ac:dyDescent="0.2">
      <c r="B2159" s="7" t="s">
        <v>876</v>
      </c>
      <c r="C2159" s="7" t="s">
        <v>101</v>
      </c>
      <c r="D2159" s="80">
        <v>8500</v>
      </c>
      <c r="E2159" s="76">
        <f t="shared" si="13"/>
        <v>8515</v>
      </c>
    </row>
    <row r="2160" spans="2:5" ht="15" x14ac:dyDescent="0.2">
      <c r="B2160" s="7" t="s">
        <v>878</v>
      </c>
      <c r="C2160" s="7" t="s">
        <v>101</v>
      </c>
      <c r="D2160" s="80">
        <v>35000</v>
      </c>
      <c r="E2160" s="76">
        <f t="shared" si="13"/>
        <v>35015</v>
      </c>
    </row>
    <row r="2161" spans="2:5" ht="15" x14ac:dyDescent="0.2">
      <c r="B2161" s="7" t="s">
        <v>880</v>
      </c>
      <c r="C2161" s="7" t="s">
        <v>3</v>
      </c>
      <c r="D2161" s="80">
        <v>19000</v>
      </c>
      <c r="E2161" s="76">
        <f t="shared" si="13"/>
        <v>19015</v>
      </c>
    </row>
    <row r="2162" spans="2:5" ht="15" x14ac:dyDescent="0.2">
      <c r="B2162" s="7" t="s">
        <v>882</v>
      </c>
      <c r="C2162" s="7" t="s">
        <v>101</v>
      </c>
      <c r="D2162" s="80">
        <v>7500</v>
      </c>
      <c r="E2162" s="76">
        <f t="shared" si="13"/>
        <v>7515</v>
      </c>
    </row>
    <row r="2163" spans="2:5" ht="15" x14ac:dyDescent="0.2">
      <c r="B2163" s="7" t="s">
        <v>884</v>
      </c>
      <c r="C2163" s="7" t="s">
        <v>101</v>
      </c>
      <c r="D2163" s="80">
        <v>7000</v>
      </c>
      <c r="E2163" s="76">
        <f t="shared" si="13"/>
        <v>7015</v>
      </c>
    </row>
    <row r="2164" spans="2:5" ht="15" x14ac:dyDescent="0.2">
      <c r="B2164" s="7" t="s">
        <v>886</v>
      </c>
      <c r="C2164" s="7" t="s">
        <v>101</v>
      </c>
      <c r="D2164" s="80">
        <v>7500</v>
      </c>
      <c r="E2164" s="76">
        <f t="shared" si="13"/>
        <v>7515</v>
      </c>
    </row>
    <row r="2165" spans="2:5" ht="15" x14ac:dyDescent="0.2">
      <c r="B2165" s="7" t="s">
        <v>888</v>
      </c>
      <c r="C2165" s="7" t="s">
        <v>101</v>
      </c>
      <c r="D2165" s="80">
        <v>33000</v>
      </c>
      <c r="E2165" s="76">
        <f t="shared" si="13"/>
        <v>33015</v>
      </c>
    </row>
    <row r="2166" spans="2:5" ht="15" x14ac:dyDescent="0.2">
      <c r="B2166" s="7" t="s">
        <v>890</v>
      </c>
      <c r="C2166" s="7" t="s">
        <v>3</v>
      </c>
      <c r="D2166" s="80">
        <v>17500</v>
      </c>
      <c r="E2166" s="76">
        <f t="shared" si="13"/>
        <v>17515</v>
      </c>
    </row>
    <row r="2167" spans="2:5" ht="15" x14ac:dyDescent="0.2">
      <c r="B2167" s="7" t="s">
        <v>892</v>
      </c>
      <c r="C2167" s="7" t="s">
        <v>605</v>
      </c>
      <c r="D2167" s="80">
        <v>10000</v>
      </c>
      <c r="E2167" s="76">
        <f t="shared" si="13"/>
        <v>10015</v>
      </c>
    </row>
    <row r="2168" spans="2:5" ht="15" x14ac:dyDescent="0.2">
      <c r="B2168" s="7" t="s">
        <v>894</v>
      </c>
      <c r="C2168" s="7" t="s">
        <v>3</v>
      </c>
      <c r="D2168" s="80">
        <v>52000</v>
      </c>
      <c r="E2168" s="76">
        <f t="shared" si="13"/>
        <v>52015</v>
      </c>
    </row>
    <row r="2169" spans="2:5" ht="15" x14ac:dyDescent="0.2">
      <c r="B2169" s="7" t="s">
        <v>896</v>
      </c>
      <c r="C2169" s="7" t="s">
        <v>3</v>
      </c>
      <c r="D2169" s="80">
        <v>57000</v>
      </c>
      <c r="E2169" s="76">
        <f t="shared" si="13"/>
        <v>57015</v>
      </c>
    </row>
    <row r="2170" spans="2:5" ht="15" x14ac:dyDescent="0.2">
      <c r="B2170" s="7" t="s">
        <v>898</v>
      </c>
      <c r="C2170" s="7" t="s">
        <v>123</v>
      </c>
      <c r="D2170" s="80">
        <v>22000</v>
      </c>
      <c r="E2170" s="76">
        <f t="shared" si="13"/>
        <v>22015</v>
      </c>
    </row>
    <row r="2171" spans="2:5" ht="15" x14ac:dyDescent="0.2">
      <c r="B2171" s="7" t="s">
        <v>901</v>
      </c>
      <c r="C2171" s="7" t="s">
        <v>6</v>
      </c>
      <c r="D2171" s="80">
        <v>61500</v>
      </c>
      <c r="E2171" s="76">
        <f t="shared" si="13"/>
        <v>61515</v>
      </c>
    </row>
    <row r="2172" spans="2:5" ht="15" x14ac:dyDescent="0.2">
      <c r="B2172" s="7" t="s">
        <v>903</v>
      </c>
      <c r="C2172" s="7" t="s">
        <v>6</v>
      </c>
      <c r="D2172" s="80">
        <v>240000</v>
      </c>
      <c r="E2172" s="76">
        <f t="shared" si="13"/>
        <v>240015</v>
      </c>
    </row>
    <row r="2173" spans="2:5" ht="15" x14ac:dyDescent="0.2">
      <c r="B2173" s="7" t="s">
        <v>905</v>
      </c>
      <c r="C2173" s="7" t="s">
        <v>6</v>
      </c>
      <c r="D2173" s="80">
        <v>178000</v>
      </c>
      <c r="E2173" s="76">
        <f t="shared" si="13"/>
        <v>178015</v>
      </c>
    </row>
    <row r="2174" spans="2:5" ht="15" x14ac:dyDescent="0.2">
      <c r="B2174" s="7" t="s">
        <v>907</v>
      </c>
      <c r="C2174" s="7" t="s">
        <v>6</v>
      </c>
      <c r="D2174" s="80">
        <v>125000</v>
      </c>
      <c r="E2174" s="76">
        <f t="shared" si="13"/>
        <v>125015</v>
      </c>
    </row>
    <row r="2175" spans="2:5" ht="15" x14ac:dyDescent="0.2">
      <c r="B2175" s="7" t="s">
        <v>909</v>
      </c>
      <c r="C2175" s="7" t="s">
        <v>6</v>
      </c>
      <c r="D2175" s="80">
        <v>52000</v>
      </c>
      <c r="E2175" s="76">
        <f t="shared" si="13"/>
        <v>52015</v>
      </c>
    </row>
    <row r="2176" spans="2:5" ht="15" x14ac:dyDescent="0.2">
      <c r="B2176" s="7" t="s">
        <v>911</v>
      </c>
      <c r="C2176" s="7" t="s">
        <v>6</v>
      </c>
      <c r="D2176" s="80">
        <v>60000</v>
      </c>
      <c r="E2176" s="76">
        <f t="shared" si="13"/>
        <v>60015</v>
      </c>
    </row>
    <row r="2177" spans="2:5" ht="15" x14ac:dyDescent="0.2">
      <c r="B2177" s="7" t="s">
        <v>913</v>
      </c>
      <c r="C2177" s="7" t="s">
        <v>6</v>
      </c>
      <c r="D2177" s="80">
        <v>27000</v>
      </c>
      <c r="E2177" s="76">
        <f t="shared" si="13"/>
        <v>27015</v>
      </c>
    </row>
    <row r="2178" spans="2:5" ht="15" x14ac:dyDescent="0.2">
      <c r="B2178" s="7" t="s">
        <v>915</v>
      </c>
      <c r="C2178" s="7" t="s">
        <v>6</v>
      </c>
      <c r="D2178" s="80">
        <v>23000</v>
      </c>
      <c r="E2178" s="76">
        <f t="shared" si="13"/>
        <v>23015</v>
      </c>
    </row>
    <row r="2179" spans="2:5" ht="15" x14ac:dyDescent="0.2">
      <c r="B2179" s="7" t="s">
        <v>917</v>
      </c>
      <c r="C2179" s="7" t="s">
        <v>3</v>
      </c>
      <c r="D2179" s="80">
        <v>72000</v>
      </c>
      <c r="E2179" s="76">
        <f t="shared" si="13"/>
        <v>72015</v>
      </c>
    </row>
    <row r="2180" spans="2:5" ht="15" x14ac:dyDescent="0.2">
      <c r="B2180" s="7" t="s">
        <v>919</v>
      </c>
      <c r="C2180" s="7" t="s">
        <v>3</v>
      </c>
      <c r="D2180" s="80">
        <v>28500</v>
      </c>
      <c r="E2180" s="76">
        <f t="shared" si="13"/>
        <v>28515</v>
      </c>
    </row>
    <row r="2181" spans="2:5" ht="15" x14ac:dyDescent="0.2">
      <c r="B2181" s="7" t="s">
        <v>921</v>
      </c>
      <c r="C2181" s="7" t="s">
        <v>6</v>
      </c>
      <c r="D2181" s="80">
        <v>202500</v>
      </c>
      <c r="E2181" s="76">
        <f t="shared" si="13"/>
        <v>202515</v>
      </c>
    </row>
    <row r="2182" spans="2:5" ht="15" x14ac:dyDescent="0.2">
      <c r="B2182" s="7" t="s">
        <v>923</v>
      </c>
      <c r="C2182" s="7" t="s">
        <v>3</v>
      </c>
      <c r="D2182" s="80">
        <v>85600</v>
      </c>
      <c r="E2182" s="76">
        <f t="shared" si="13"/>
        <v>85615</v>
      </c>
    </row>
    <row r="2183" spans="2:5" ht="15" x14ac:dyDescent="0.2">
      <c r="B2183" s="7" t="s">
        <v>925</v>
      </c>
      <c r="C2183" s="7" t="s">
        <v>6</v>
      </c>
      <c r="D2183" s="80">
        <v>23500</v>
      </c>
      <c r="E2183" s="76">
        <f t="shared" si="13"/>
        <v>23515</v>
      </c>
    </row>
    <row r="2184" spans="2:5" ht="15" x14ac:dyDescent="0.2">
      <c r="B2184" s="7" t="s">
        <v>927</v>
      </c>
      <c r="C2184" s="7" t="s">
        <v>6</v>
      </c>
      <c r="D2184" s="80">
        <v>35000</v>
      </c>
      <c r="E2184" s="76">
        <f t="shared" si="13"/>
        <v>35015</v>
      </c>
    </row>
    <row r="2185" spans="2:5" ht="15" x14ac:dyDescent="0.2">
      <c r="B2185" s="7" t="s">
        <v>929</v>
      </c>
      <c r="C2185" s="7" t="s">
        <v>6</v>
      </c>
      <c r="D2185" s="80">
        <v>32500</v>
      </c>
      <c r="E2185" s="76">
        <f t="shared" si="13"/>
        <v>32515</v>
      </c>
    </row>
    <row r="2186" spans="2:5" ht="15" x14ac:dyDescent="0.2">
      <c r="B2186" s="7" t="s">
        <v>931</v>
      </c>
      <c r="C2186" s="7" t="s">
        <v>6</v>
      </c>
      <c r="D2186" s="80">
        <v>28000</v>
      </c>
      <c r="E2186" s="76">
        <f t="shared" si="13"/>
        <v>28015</v>
      </c>
    </row>
    <row r="2187" spans="2:5" ht="15" x14ac:dyDescent="0.2">
      <c r="B2187" s="7" t="s">
        <v>933</v>
      </c>
      <c r="C2187" s="7" t="s">
        <v>6</v>
      </c>
      <c r="D2187" s="80">
        <v>33000</v>
      </c>
      <c r="E2187" s="76">
        <f t="shared" si="13"/>
        <v>33015</v>
      </c>
    </row>
    <row r="2188" spans="2:5" ht="15" x14ac:dyDescent="0.2">
      <c r="B2188" s="7" t="s">
        <v>935</v>
      </c>
      <c r="C2188" s="7" t="s">
        <v>6</v>
      </c>
      <c r="D2188" s="80">
        <v>175000</v>
      </c>
      <c r="E2188" s="76">
        <f t="shared" si="13"/>
        <v>175015</v>
      </c>
    </row>
    <row r="2189" spans="2:5" ht="15" x14ac:dyDescent="0.2">
      <c r="B2189" s="7" t="s">
        <v>937</v>
      </c>
      <c r="C2189" s="7" t="s">
        <v>3</v>
      </c>
      <c r="D2189" s="80">
        <v>5500</v>
      </c>
      <c r="E2189" s="76">
        <f t="shared" si="13"/>
        <v>5515</v>
      </c>
    </row>
    <row r="2190" spans="2:5" ht="15" x14ac:dyDescent="0.2">
      <c r="B2190" s="7" t="s">
        <v>939</v>
      </c>
      <c r="C2190" s="7" t="s">
        <v>940</v>
      </c>
      <c r="D2190" s="80">
        <v>105000</v>
      </c>
      <c r="E2190" s="76">
        <f t="shared" si="13"/>
        <v>105015</v>
      </c>
    </row>
    <row r="2191" spans="2:5" ht="15" x14ac:dyDescent="0.2">
      <c r="B2191" s="7" t="s">
        <v>942</v>
      </c>
      <c r="C2191" s="7" t="s">
        <v>3</v>
      </c>
      <c r="D2191" s="80">
        <v>15000</v>
      </c>
      <c r="E2191" s="76">
        <f t="shared" si="13"/>
        <v>15015</v>
      </c>
    </row>
    <row r="2192" spans="2:5" ht="15" x14ac:dyDescent="0.2">
      <c r="B2192" s="7" t="s">
        <v>944</v>
      </c>
      <c r="C2192" s="7" t="s">
        <v>6</v>
      </c>
      <c r="D2192" s="80">
        <v>12200</v>
      </c>
      <c r="E2192" s="76">
        <f t="shared" si="13"/>
        <v>12215</v>
      </c>
    </row>
    <row r="2193" spans="2:5" ht="15" x14ac:dyDescent="0.2">
      <c r="B2193" s="7" t="s">
        <v>946</v>
      </c>
      <c r="C2193" s="7" t="s">
        <v>6</v>
      </c>
      <c r="D2193" s="80">
        <v>12500</v>
      </c>
      <c r="E2193" s="76">
        <f t="shared" si="13"/>
        <v>12515</v>
      </c>
    </row>
    <row r="2194" spans="2:5" ht="15" x14ac:dyDescent="0.2">
      <c r="B2194" s="7" t="s">
        <v>948</v>
      </c>
      <c r="C2194" s="7" t="s">
        <v>6</v>
      </c>
      <c r="D2194" s="80">
        <v>6500</v>
      </c>
      <c r="E2194" s="76">
        <f t="shared" si="13"/>
        <v>6515</v>
      </c>
    </row>
    <row r="2195" spans="2:5" ht="15" x14ac:dyDescent="0.2">
      <c r="B2195" s="7"/>
      <c r="C2195" s="7"/>
      <c r="D2195" s="80"/>
      <c r="E2195" s="76"/>
    </row>
    <row r="2196" spans="2:5" ht="15" x14ac:dyDescent="0.2">
      <c r="B2196" s="7"/>
      <c r="C2196" s="7"/>
      <c r="D2196" s="80"/>
      <c r="E2196" s="76"/>
    </row>
    <row r="2197" spans="2:5" ht="15" x14ac:dyDescent="0.2">
      <c r="B2197" s="7"/>
      <c r="C2197" s="7"/>
      <c r="D2197" s="80"/>
      <c r="E2197" s="76"/>
    </row>
    <row r="2198" spans="2:5" ht="15" x14ac:dyDescent="0.2">
      <c r="B2198" s="7"/>
      <c r="C2198" s="7"/>
      <c r="D2198" s="80"/>
      <c r="E2198" s="76"/>
    </row>
    <row r="2199" spans="2:5" ht="15" x14ac:dyDescent="0.2">
      <c r="B2199" s="7"/>
      <c r="C2199" s="7"/>
      <c r="D2199" s="80"/>
      <c r="E2199" s="76"/>
    </row>
    <row r="2200" spans="2:5" ht="15" x14ac:dyDescent="0.2">
      <c r="B2200" s="7"/>
      <c r="C2200" s="7"/>
      <c r="D2200" s="80"/>
      <c r="E2200" s="76"/>
    </row>
    <row r="2201" spans="2:5" ht="15" x14ac:dyDescent="0.2">
      <c r="B2201" s="7"/>
      <c r="C2201" s="7"/>
      <c r="D2201" s="80"/>
      <c r="E2201" s="76"/>
    </row>
    <row r="2202" spans="2:5" ht="15" x14ac:dyDescent="0.2">
      <c r="B2202" s="7"/>
      <c r="C2202" s="7"/>
      <c r="D2202" s="80"/>
      <c r="E2202" s="76"/>
    </row>
    <row r="2203" spans="2:5" ht="15" x14ac:dyDescent="0.2">
      <c r="B2203" s="7"/>
      <c r="C2203" s="7"/>
      <c r="D2203" s="80"/>
      <c r="E2203" s="76"/>
    </row>
    <row r="2204" spans="2:5" ht="15" x14ac:dyDescent="0.2">
      <c r="B2204" s="7"/>
      <c r="C2204" s="7"/>
      <c r="D2204" s="80"/>
      <c r="E2204" s="76"/>
    </row>
    <row r="2205" spans="2:5" ht="15" x14ac:dyDescent="0.2">
      <c r="B2205" s="7"/>
      <c r="C2205" s="7"/>
      <c r="D2205" s="80"/>
      <c r="E2205" s="76"/>
    </row>
    <row r="2206" spans="2:5" ht="15" x14ac:dyDescent="0.2">
      <c r="B2206" s="7"/>
      <c r="C2206" s="7"/>
      <c r="D2206" s="80"/>
      <c r="E2206" s="76"/>
    </row>
    <row r="2207" spans="2:5" ht="15" x14ac:dyDescent="0.2">
      <c r="B2207" s="7"/>
      <c r="C2207" s="7"/>
      <c r="D2207" s="80"/>
      <c r="E2207" s="76"/>
    </row>
    <row r="2208" spans="2:5" ht="15" x14ac:dyDescent="0.2">
      <c r="B2208" s="7"/>
      <c r="C2208" s="7"/>
      <c r="D2208" s="80"/>
      <c r="E2208" s="76"/>
    </row>
    <row r="2209" spans="2:5" ht="15" x14ac:dyDescent="0.2">
      <c r="B2209" s="7"/>
      <c r="C2209" s="7"/>
      <c r="D2209" s="80"/>
      <c r="E2209" s="76"/>
    </row>
    <row r="2210" spans="2:5" ht="15" x14ac:dyDescent="0.2">
      <c r="B2210" s="7"/>
      <c r="C2210" s="7"/>
      <c r="D2210" s="80"/>
      <c r="E2210" s="76"/>
    </row>
    <row r="2211" spans="2:5" ht="15" x14ac:dyDescent="0.2">
      <c r="B2211" s="7"/>
      <c r="C2211" s="7"/>
      <c r="D2211" s="80"/>
      <c r="E2211" s="76"/>
    </row>
    <row r="2212" spans="2:5" ht="15" x14ac:dyDescent="0.2">
      <c r="B2212" s="7"/>
      <c r="C2212" s="7"/>
      <c r="D2212" s="80"/>
      <c r="E2212" s="76"/>
    </row>
    <row r="2213" spans="2:5" ht="15" x14ac:dyDescent="0.2">
      <c r="B2213" s="7"/>
      <c r="C2213" s="7"/>
      <c r="D2213" s="80"/>
      <c r="E2213" s="76"/>
    </row>
    <row r="2214" spans="2:5" ht="15" x14ac:dyDescent="0.2">
      <c r="B2214" s="7"/>
      <c r="C2214" s="7"/>
      <c r="D2214" s="80"/>
      <c r="E2214" s="76"/>
    </row>
    <row r="2215" spans="2:5" ht="15" x14ac:dyDescent="0.2">
      <c r="B2215" s="7"/>
      <c r="C2215" s="7"/>
      <c r="D2215" s="80"/>
      <c r="E2215" s="76"/>
    </row>
    <row r="2216" spans="2:5" ht="15" x14ac:dyDescent="0.2">
      <c r="B2216" s="7"/>
      <c r="C2216" s="7"/>
      <c r="D2216" s="80"/>
      <c r="E2216" s="76"/>
    </row>
    <row r="2217" spans="2:5" ht="15" x14ac:dyDescent="0.2">
      <c r="B2217" s="7"/>
      <c r="C2217" s="7"/>
      <c r="D2217" s="80"/>
      <c r="E2217" s="76"/>
    </row>
    <row r="2218" spans="2:5" ht="15" x14ac:dyDescent="0.2">
      <c r="B2218" s="7"/>
      <c r="C2218" s="7"/>
      <c r="D2218" s="80"/>
      <c r="E2218" s="76"/>
    </row>
    <row r="2219" spans="2:5" ht="15" x14ac:dyDescent="0.2">
      <c r="B2219" s="7"/>
      <c r="C2219" s="7"/>
      <c r="D2219" s="80"/>
      <c r="E2219" s="76"/>
    </row>
    <row r="2220" spans="2:5" ht="15" x14ac:dyDescent="0.2">
      <c r="B2220" s="7"/>
      <c r="C2220" s="7"/>
      <c r="D2220" s="80"/>
      <c r="E2220" s="76"/>
    </row>
    <row r="2221" spans="2:5" ht="15" x14ac:dyDescent="0.2">
      <c r="B2221" s="7"/>
      <c r="C2221" s="7"/>
      <c r="D2221" s="80"/>
      <c r="E2221" s="76"/>
    </row>
    <row r="2222" spans="2:5" ht="15" x14ac:dyDescent="0.2">
      <c r="B2222" s="7"/>
      <c r="C2222" s="7"/>
      <c r="D2222" s="80"/>
      <c r="E2222" s="76"/>
    </row>
    <row r="2223" spans="2:5" ht="15" x14ac:dyDescent="0.2">
      <c r="B2223" s="7"/>
      <c r="C2223" s="7"/>
      <c r="D2223" s="80"/>
      <c r="E2223" s="76"/>
    </row>
    <row r="2224" spans="2:5" ht="15" x14ac:dyDescent="0.2">
      <c r="B2224" s="7"/>
      <c r="C2224" s="7"/>
      <c r="D2224" s="80"/>
      <c r="E2224" s="76"/>
    </row>
    <row r="2225" spans="2:5" ht="15" x14ac:dyDescent="0.2">
      <c r="B2225" s="7"/>
      <c r="C2225" s="7"/>
      <c r="D2225" s="80"/>
      <c r="E2225" s="76"/>
    </row>
    <row r="2226" spans="2:5" ht="15" x14ac:dyDescent="0.2">
      <c r="B2226" s="7"/>
      <c r="C2226" s="7"/>
      <c r="D2226" s="80"/>
      <c r="E2226" s="76"/>
    </row>
    <row r="2227" spans="2:5" ht="15" x14ac:dyDescent="0.2">
      <c r="B2227" s="7"/>
      <c r="C2227" s="7"/>
      <c r="D2227" s="80"/>
      <c r="E2227" s="76"/>
    </row>
    <row r="2228" spans="2:5" ht="15" x14ac:dyDescent="0.2">
      <c r="B2228" s="7"/>
      <c r="C2228" s="7"/>
      <c r="D2228" s="80"/>
      <c r="E2228" s="76"/>
    </row>
    <row r="2229" spans="2:5" ht="15" x14ac:dyDescent="0.2">
      <c r="B2229" s="7"/>
      <c r="C2229" s="7"/>
      <c r="D2229" s="80"/>
      <c r="E2229" s="76"/>
    </row>
    <row r="2230" spans="2:5" ht="15" x14ac:dyDescent="0.2">
      <c r="B2230" s="7"/>
      <c r="C2230" s="7"/>
      <c r="D2230" s="80"/>
      <c r="E2230" s="76"/>
    </row>
    <row r="2231" spans="2:5" ht="15" x14ac:dyDescent="0.2">
      <c r="B2231" s="7"/>
      <c r="C2231" s="7"/>
      <c r="D2231" s="80"/>
      <c r="E2231" s="76"/>
    </row>
    <row r="2232" spans="2:5" ht="15" x14ac:dyDescent="0.2">
      <c r="B2232" s="7"/>
      <c r="C2232" s="7"/>
      <c r="D2232" s="80"/>
      <c r="E2232" s="76"/>
    </row>
    <row r="2233" spans="2:5" ht="15" x14ac:dyDescent="0.2">
      <c r="B2233" s="7"/>
      <c r="C2233" s="7"/>
      <c r="D2233" s="80"/>
      <c r="E2233" s="76"/>
    </row>
    <row r="2234" spans="2:5" ht="15" x14ac:dyDescent="0.2">
      <c r="B2234" s="7"/>
      <c r="C2234" s="7"/>
      <c r="D2234" s="80"/>
      <c r="E2234" s="76"/>
    </row>
    <row r="2235" spans="2:5" ht="15" x14ac:dyDescent="0.2">
      <c r="B2235" s="7"/>
      <c r="C2235" s="7"/>
      <c r="D2235" s="80"/>
      <c r="E2235" s="76"/>
    </row>
    <row r="2236" spans="2:5" ht="15" x14ac:dyDescent="0.2">
      <c r="B2236" s="7"/>
      <c r="C2236" s="7"/>
      <c r="D2236" s="80"/>
      <c r="E2236" s="76"/>
    </row>
    <row r="2237" spans="2:5" ht="15" x14ac:dyDescent="0.2">
      <c r="B2237" s="7"/>
      <c r="C2237" s="7"/>
      <c r="D2237" s="80"/>
      <c r="E2237" s="76"/>
    </row>
    <row r="2238" spans="2:5" ht="15" x14ac:dyDescent="0.2">
      <c r="B2238" s="7"/>
      <c r="C2238" s="7"/>
      <c r="D2238" s="80"/>
      <c r="E2238" s="76"/>
    </row>
    <row r="2239" spans="2:5" ht="15" x14ac:dyDescent="0.2">
      <c r="B2239" s="7"/>
      <c r="C2239" s="7"/>
      <c r="D2239" s="80"/>
      <c r="E2239" s="76"/>
    </row>
    <row r="2240" spans="2:5" ht="15" x14ac:dyDescent="0.2">
      <c r="B2240" s="7"/>
      <c r="C2240" s="7"/>
      <c r="D2240" s="80"/>
      <c r="E2240" s="76"/>
    </row>
    <row r="2241" spans="2:5" ht="15" x14ac:dyDescent="0.2">
      <c r="B2241" s="7"/>
      <c r="C2241" s="7"/>
      <c r="D2241" s="80"/>
      <c r="E2241" s="76"/>
    </row>
    <row r="2242" spans="2:5" ht="15" x14ac:dyDescent="0.2">
      <c r="B2242" s="7"/>
      <c r="C2242" s="7"/>
      <c r="D2242" s="80"/>
      <c r="E2242" s="76"/>
    </row>
    <row r="2243" spans="2:5" ht="15" x14ac:dyDescent="0.2">
      <c r="B2243" s="7"/>
      <c r="C2243" s="7"/>
      <c r="D2243" s="80"/>
      <c r="E2243" s="76"/>
    </row>
    <row r="2244" spans="2:5" ht="15" x14ac:dyDescent="0.2">
      <c r="B2244" s="7"/>
      <c r="C2244" s="7"/>
      <c r="D2244" s="80"/>
      <c r="E2244" s="76"/>
    </row>
    <row r="2245" spans="2:5" ht="15" x14ac:dyDescent="0.2">
      <c r="B2245" s="7"/>
      <c r="C2245" s="7"/>
      <c r="D2245" s="80"/>
      <c r="E2245" s="76"/>
    </row>
    <row r="2246" spans="2:5" ht="15" x14ac:dyDescent="0.2">
      <c r="B2246" s="7"/>
      <c r="C2246" s="7"/>
      <c r="D2246" s="80"/>
      <c r="E2246" s="76"/>
    </row>
    <row r="2247" spans="2:5" ht="15" x14ac:dyDescent="0.2">
      <c r="B2247" s="7"/>
      <c r="C2247" s="7"/>
      <c r="D2247" s="80"/>
      <c r="E2247" s="76"/>
    </row>
    <row r="2248" spans="2:5" ht="15" x14ac:dyDescent="0.2">
      <c r="B2248" s="7"/>
      <c r="C2248" s="7"/>
      <c r="D2248" s="80"/>
      <c r="E2248" s="76"/>
    </row>
    <row r="2249" spans="2:5" ht="15" x14ac:dyDescent="0.2">
      <c r="B2249" s="7"/>
      <c r="C2249" s="7"/>
      <c r="D2249" s="80"/>
      <c r="E2249" s="76"/>
    </row>
    <row r="2250" spans="2:5" ht="15" x14ac:dyDescent="0.2">
      <c r="B2250" s="7"/>
      <c r="C2250" s="7"/>
      <c r="D2250" s="80"/>
      <c r="E2250" s="76"/>
    </row>
    <row r="2251" spans="2:5" ht="15" x14ac:dyDescent="0.2">
      <c r="B2251" s="7"/>
      <c r="C2251" s="7"/>
      <c r="D2251" s="80"/>
      <c r="E2251" s="76"/>
    </row>
    <row r="2252" spans="2:5" ht="15" x14ac:dyDescent="0.2">
      <c r="B2252" s="7"/>
      <c r="C2252" s="7"/>
      <c r="D2252" s="80"/>
      <c r="E2252" s="76"/>
    </row>
    <row r="2253" spans="2:5" ht="15" x14ac:dyDescent="0.2">
      <c r="B2253" s="7"/>
      <c r="C2253" s="7"/>
      <c r="D2253" s="80"/>
      <c r="E2253" s="76"/>
    </row>
    <row r="2254" spans="2:5" ht="15" x14ac:dyDescent="0.2">
      <c r="B2254" s="7"/>
      <c r="C2254" s="7"/>
      <c r="D2254" s="80"/>
      <c r="E2254" s="76"/>
    </row>
    <row r="2255" spans="2:5" ht="15" x14ac:dyDescent="0.2">
      <c r="B2255" s="7"/>
      <c r="C2255" s="7"/>
      <c r="D2255" s="80"/>
      <c r="E2255" s="76"/>
    </row>
    <row r="2256" spans="2:5" ht="15" x14ac:dyDescent="0.2">
      <c r="B2256" s="7"/>
      <c r="C2256" s="7"/>
      <c r="D2256" s="80"/>
      <c r="E2256" s="76"/>
    </row>
    <row r="2257" spans="2:5" ht="15" x14ac:dyDescent="0.2">
      <c r="B2257" s="7"/>
      <c r="C2257" s="7"/>
      <c r="D2257" s="80"/>
      <c r="E2257" s="76"/>
    </row>
    <row r="2258" spans="2:5" ht="15" x14ac:dyDescent="0.2">
      <c r="B2258" s="7"/>
      <c r="C2258" s="7"/>
      <c r="D2258" s="80"/>
      <c r="E2258" s="76"/>
    </row>
    <row r="2259" spans="2:5" ht="15" x14ac:dyDescent="0.2">
      <c r="B2259" s="7"/>
      <c r="C2259" s="7"/>
      <c r="D2259" s="80"/>
      <c r="E2259" s="76"/>
    </row>
    <row r="2260" spans="2:5" ht="15" x14ac:dyDescent="0.2">
      <c r="B2260" s="7"/>
      <c r="C2260" s="7"/>
      <c r="D2260" s="80"/>
      <c r="E2260" s="76"/>
    </row>
    <row r="2261" spans="2:5" ht="15" x14ac:dyDescent="0.2">
      <c r="B2261" s="7"/>
      <c r="C2261" s="7"/>
      <c r="D2261" s="80"/>
      <c r="E2261" s="76"/>
    </row>
    <row r="2262" spans="2:5" ht="15" x14ac:dyDescent="0.2">
      <c r="B2262" s="7"/>
      <c r="C2262" s="7"/>
      <c r="D2262" s="80"/>
      <c r="E2262" s="76"/>
    </row>
    <row r="2263" spans="2:5" ht="15" x14ac:dyDescent="0.2">
      <c r="B2263" s="7"/>
      <c r="C2263" s="7"/>
      <c r="D2263" s="80"/>
      <c r="E2263" s="76"/>
    </row>
    <row r="2264" spans="2:5" ht="15" x14ac:dyDescent="0.2">
      <c r="B2264" s="7"/>
      <c r="C2264" s="7"/>
      <c r="D2264" s="80"/>
      <c r="E2264" s="76"/>
    </row>
    <row r="2265" spans="2:5" ht="15" x14ac:dyDescent="0.2">
      <c r="B2265" s="7"/>
      <c r="C2265" s="7"/>
      <c r="D2265" s="80"/>
      <c r="E2265" s="76"/>
    </row>
    <row r="2266" spans="2:5" ht="15" x14ac:dyDescent="0.2">
      <c r="B2266" s="7"/>
      <c r="C2266" s="7"/>
      <c r="D2266" s="80"/>
      <c r="E2266" s="76"/>
    </row>
    <row r="2267" spans="2:5" ht="15" x14ac:dyDescent="0.2">
      <c r="B2267" s="7"/>
      <c r="C2267" s="7"/>
      <c r="D2267" s="80"/>
      <c r="E2267" s="76"/>
    </row>
    <row r="2268" spans="2:5" ht="15" x14ac:dyDescent="0.2">
      <c r="B2268" s="7"/>
      <c r="C2268" s="7"/>
      <c r="D2268" s="80"/>
      <c r="E2268" s="76"/>
    </row>
    <row r="2269" spans="2:5" ht="15" x14ac:dyDescent="0.2">
      <c r="B2269" s="7"/>
      <c r="C2269" s="7"/>
      <c r="D2269" s="80"/>
      <c r="E2269" s="76"/>
    </row>
    <row r="2270" spans="2:5" ht="15" x14ac:dyDescent="0.2">
      <c r="B2270" s="7"/>
      <c r="C2270" s="7"/>
      <c r="D2270" s="80"/>
      <c r="E2270" s="76"/>
    </row>
    <row r="2271" spans="2:5" ht="15" x14ac:dyDescent="0.2">
      <c r="B2271" s="7"/>
      <c r="C2271" s="7"/>
      <c r="D2271" s="80"/>
      <c r="E2271" s="76"/>
    </row>
    <row r="2272" spans="2:5" ht="15" x14ac:dyDescent="0.2">
      <c r="B2272" s="7"/>
      <c r="C2272" s="7"/>
      <c r="D2272" s="80"/>
      <c r="E2272" s="76"/>
    </row>
    <row r="2273" spans="2:5" ht="15" x14ac:dyDescent="0.2">
      <c r="B2273" s="7"/>
      <c r="C2273" s="7"/>
      <c r="D2273" s="80"/>
      <c r="E2273" s="76"/>
    </row>
    <row r="2274" spans="2:5" ht="15" x14ac:dyDescent="0.2">
      <c r="B2274" s="7"/>
      <c r="C2274" s="7"/>
      <c r="D2274" s="80"/>
      <c r="E2274" s="76"/>
    </row>
    <row r="2275" spans="2:5" ht="15" x14ac:dyDescent="0.2">
      <c r="B2275" s="7"/>
      <c r="C2275" s="7"/>
      <c r="D2275" s="80"/>
      <c r="E2275" s="76"/>
    </row>
    <row r="2276" spans="2:5" ht="15" x14ac:dyDescent="0.2">
      <c r="B2276" s="7"/>
      <c r="C2276" s="7"/>
      <c r="D2276" s="80"/>
      <c r="E2276" s="76"/>
    </row>
    <row r="2277" spans="2:5" ht="15" x14ac:dyDescent="0.2">
      <c r="B2277" s="7"/>
      <c r="C2277" s="7"/>
      <c r="D2277" s="80"/>
      <c r="E2277" s="76"/>
    </row>
    <row r="2278" spans="2:5" ht="15" x14ac:dyDescent="0.2">
      <c r="B2278" s="7"/>
      <c r="C2278" s="7"/>
      <c r="D2278" s="80"/>
      <c r="E2278" s="76"/>
    </row>
    <row r="2279" spans="2:5" ht="15" x14ac:dyDescent="0.2">
      <c r="B2279" s="7"/>
      <c r="C2279" s="7"/>
      <c r="D2279" s="80"/>
      <c r="E2279" s="76"/>
    </row>
    <row r="2280" spans="2:5" ht="15" x14ac:dyDescent="0.2">
      <c r="B2280" s="7"/>
      <c r="C2280" s="7"/>
      <c r="D2280" s="80"/>
      <c r="E2280" s="76"/>
    </row>
    <row r="2281" spans="2:5" ht="15" x14ac:dyDescent="0.2">
      <c r="B2281" s="7"/>
      <c r="C2281" s="7"/>
      <c r="D2281" s="80"/>
      <c r="E2281" s="76"/>
    </row>
    <row r="2282" spans="2:5" ht="15" x14ac:dyDescent="0.2">
      <c r="B2282" s="7"/>
      <c r="C2282" s="7"/>
      <c r="D2282" s="80"/>
      <c r="E2282" s="76"/>
    </row>
    <row r="2283" spans="2:5" ht="15" x14ac:dyDescent="0.2">
      <c r="B2283" s="7"/>
      <c r="C2283" s="7"/>
      <c r="D2283" s="80"/>
      <c r="E2283" s="76"/>
    </row>
    <row r="2284" spans="2:5" ht="15" x14ac:dyDescent="0.2">
      <c r="B2284" s="7"/>
      <c r="C2284" s="7"/>
      <c r="D2284" s="80"/>
      <c r="E2284" s="76"/>
    </row>
    <row r="2285" spans="2:5" ht="15" x14ac:dyDescent="0.2">
      <c r="B2285" s="7"/>
      <c r="C2285" s="7"/>
      <c r="D2285" s="80"/>
      <c r="E2285" s="76"/>
    </row>
    <row r="2286" spans="2:5" ht="15" x14ac:dyDescent="0.2">
      <c r="B2286" s="7"/>
      <c r="C2286" s="7"/>
      <c r="D2286" s="80"/>
      <c r="E2286" s="76"/>
    </row>
    <row r="2287" spans="2:5" ht="15" x14ac:dyDescent="0.2">
      <c r="B2287" s="7"/>
      <c r="C2287" s="7"/>
      <c r="D2287" s="80"/>
      <c r="E2287" s="76"/>
    </row>
    <row r="2288" spans="2:5" ht="15" x14ac:dyDescent="0.2">
      <c r="B2288" s="7"/>
      <c r="C2288" s="7"/>
      <c r="D2288" s="80"/>
      <c r="E2288" s="76"/>
    </row>
    <row r="2289" spans="1:5" ht="15" x14ac:dyDescent="0.2">
      <c r="B2289" s="7"/>
      <c r="C2289" s="7"/>
      <c r="D2289" s="80"/>
      <c r="E2289" s="76"/>
    </row>
    <row r="2290" spans="1:5" ht="15" x14ac:dyDescent="0.2">
      <c r="B2290" s="7"/>
      <c r="C2290" s="7"/>
      <c r="D2290" s="80"/>
      <c r="E2290" s="76"/>
    </row>
    <row r="2291" spans="1:5" ht="15" x14ac:dyDescent="0.2">
      <c r="B2291" s="7"/>
      <c r="C2291" s="7"/>
      <c r="D2291" s="80"/>
      <c r="E2291" s="76"/>
    </row>
    <row r="2292" spans="1:5" ht="15" x14ac:dyDescent="0.2">
      <c r="B2292" s="7"/>
      <c r="C2292" s="7"/>
      <c r="D2292" s="80"/>
      <c r="E2292" s="76"/>
    </row>
    <row r="2293" spans="1:5" ht="15" x14ac:dyDescent="0.2">
      <c r="B2293" s="7"/>
      <c r="C2293" s="7"/>
      <c r="D2293" s="80"/>
      <c r="E2293" s="76"/>
    </row>
    <row r="2294" spans="1:5" ht="15" x14ac:dyDescent="0.2">
      <c r="B2294" s="7"/>
      <c r="C2294" s="7"/>
      <c r="D2294" s="80"/>
      <c r="E2294" s="76"/>
    </row>
    <row r="2295" spans="1:5" ht="15" x14ac:dyDescent="0.2">
      <c r="B2295" s="7"/>
      <c r="C2295" s="7"/>
      <c r="D2295" s="80"/>
      <c r="E2295" s="76"/>
    </row>
    <row r="2296" spans="1:5" ht="15" x14ac:dyDescent="0.2">
      <c r="A2296" s="53" t="s">
        <v>2440</v>
      </c>
      <c r="B2296" s="7" t="s">
        <v>950</v>
      </c>
      <c r="C2296" s="7" t="s">
        <v>6</v>
      </c>
      <c r="D2296" s="80">
        <v>60000</v>
      </c>
      <c r="E2296" s="76">
        <f t="shared" si="13"/>
        <v>60015</v>
      </c>
    </row>
    <row r="2297" spans="1:5" ht="15" x14ac:dyDescent="0.2">
      <c r="B2297" s="7" t="s">
        <v>952</v>
      </c>
      <c r="C2297" s="7" t="s">
        <v>37</v>
      </c>
      <c r="D2297" s="80">
        <v>69500</v>
      </c>
      <c r="E2297" s="76">
        <f t="shared" si="13"/>
        <v>69515</v>
      </c>
    </row>
    <row r="2298" spans="1:5" ht="15" x14ac:dyDescent="0.2">
      <c r="B2298" s="7" t="s">
        <v>954</v>
      </c>
      <c r="C2298" s="7" t="s">
        <v>37</v>
      </c>
      <c r="D2298" s="80">
        <v>105000</v>
      </c>
      <c r="E2298" s="76">
        <f t="shared" si="13"/>
        <v>105015</v>
      </c>
    </row>
    <row r="2299" spans="1:5" ht="15" x14ac:dyDescent="0.2">
      <c r="B2299" s="7" t="s">
        <v>956</v>
      </c>
      <c r="C2299" s="7" t="s">
        <v>323</v>
      </c>
      <c r="D2299" s="81">
        <v>40000</v>
      </c>
      <c r="E2299" s="76">
        <f t="shared" si="13"/>
        <v>40015</v>
      </c>
    </row>
    <row r="2300" spans="1:5" ht="15" x14ac:dyDescent="0.2">
      <c r="B2300" s="7" t="s">
        <v>853</v>
      </c>
      <c r="C2300" s="7" t="s">
        <v>6</v>
      </c>
      <c r="D2300" s="82">
        <v>35000</v>
      </c>
      <c r="E2300" s="76">
        <f t="shared" ref="E2300:E2463" si="14">D2300+15</f>
        <v>35015</v>
      </c>
    </row>
    <row r="2301" spans="1:5" ht="15" x14ac:dyDescent="0.2">
      <c r="B2301" s="7" t="s">
        <v>855</v>
      </c>
      <c r="C2301" s="7" t="s">
        <v>6</v>
      </c>
      <c r="D2301" s="82">
        <v>56500</v>
      </c>
      <c r="E2301" s="76">
        <f t="shared" si="14"/>
        <v>56515</v>
      </c>
    </row>
    <row r="2302" spans="1:5" ht="15" x14ac:dyDescent="0.2">
      <c r="B2302" s="7" t="s">
        <v>857</v>
      </c>
      <c r="C2302" s="7" t="s">
        <v>6</v>
      </c>
      <c r="D2302" s="82">
        <v>59000</v>
      </c>
      <c r="E2302" s="76">
        <f t="shared" si="14"/>
        <v>59015</v>
      </c>
    </row>
    <row r="2303" spans="1:5" ht="15" x14ac:dyDescent="0.2">
      <c r="B2303" s="7" t="s">
        <v>859</v>
      </c>
      <c r="C2303" s="7" t="s">
        <v>101</v>
      </c>
      <c r="D2303" s="82">
        <v>58000</v>
      </c>
      <c r="E2303" s="76">
        <f t="shared" si="14"/>
        <v>58015</v>
      </c>
    </row>
    <row r="2304" spans="1:5" ht="15" x14ac:dyDescent="0.2">
      <c r="B2304" s="7" t="s">
        <v>861</v>
      </c>
      <c r="C2304" s="7" t="s">
        <v>6</v>
      </c>
      <c r="D2304" s="82">
        <v>25500</v>
      </c>
      <c r="E2304" s="76">
        <f t="shared" si="14"/>
        <v>25515</v>
      </c>
    </row>
    <row r="2305" spans="2:5" ht="15" x14ac:dyDescent="0.2">
      <c r="B2305" s="7" t="s">
        <v>863</v>
      </c>
      <c r="C2305" s="7" t="s">
        <v>6</v>
      </c>
      <c r="D2305" s="82">
        <v>20000</v>
      </c>
      <c r="E2305" s="76">
        <f t="shared" si="14"/>
        <v>20015</v>
      </c>
    </row>
    <row r="2306" spans="2:5" ht="15" x14ac:dyDescent="0.2">
      <c r="B2306" s="7" t="s">
        <v>865</v>
      </c>
      <c r="C2306" s="7" t="s">
        <v>101</v>
      </c>
      <c r="D2306" s="82">
        <v>165000</v>
      </c>
      <c r="E2306" s="76">
        <f t="shared" si="14"/>
        <v>165015</v>
      </c>
    </row>
    <row r="2307" spans="2:5" ht="15" x14ac:dyDescent="0.2">
      <c r="B2307" s="7" t="s">
        <v>867</v>
      </c>
      <c r="C2307" s="7" t="s">
        <v>6</v>
      </c>
      <c r="D2307" s="82">
        <v>23500</v>
      </c>
      <c r="E2307" s="76">
        <f t="shared" si="14"/>
        <v>23515</v>
      </c>
    </row>
    <row r="2308" spans="2:5" ht="15" x14ac:dyDescent="0.2">
      <c r="B2308" s="7" t="s">
        <v>869</v>
      </c>
      <c r="C2308" s="7" t="s">
        <v>6</v>
      </c>
      <c r="D2308" s="82">
        <v>250000</v>
      </c>
      <c r="E2308" s="76">
        <f t="shared" si="14"/>
        <v>250015</v>
      </c>
    </row>
    <row r="2309" spans="2:5" ht="15" x14ac:dyDescent="0.2">
      <c r="B2309" s="7" t="s">
        <v>871</v>
      </c>
      <c r="C2309" s="7" t="s">
        <v>6</v>
      </c>
      <c r="D2309" s="82">
        <v>38000</v>
      </c>
      <c r="E2309" s="76">
        <f t="shared" si="14"/>
        <v>38015</v>
      </c>
    </row>
    <row r="2310" spans="2:5" ht="15" x14ac:dyDescent="0.2">
      <c r="B2310" s="7" t="s">
        <v>873</v>
      </c>
      <c r="C2310" s="7" t="s">
        <v>6</v>
      </c>
      <c r="D2310" s="82">
        <v>30000</v>
      </c>
      <c r="E2310" s="76">
        <f t="shared" si="14"/>
        <v>30015</v>
      </c>
    </row>
    <row r="2311" spans="2:5" ht="15" x14ac:dyDescent="0.2">
      <c r="B2311" s="7" t="s">
        <v>875</v>
      </c>
      <c r="C2311" s="7" t="s">
        <v>6</v>
      </c>
      <c r="D2311" s="82">
        <v>22500</v>
      </c>
      <c r="E2311" s="76">
        <f t="shared" si="14"/>
        <v>22515</v>
      </c>
    </row>
    <row r="2312" spans="2:5" ht="15" x14ac:dyDescent="0.2">
      <c r="B2312" s="7" t="s">
        <v>877</v>
      </c>
      <c r="C2312" s="7" t="s">
        <v>3</v>
      </c>
      <c r="D2312" s="82">
        <v>8000</v>
      </c>
      <c r="E2312" s="76">
        <f t="shared" si="14"/>
        <v>8015</v>
      </c>
    </row>
    <row r="2313" spans="2:5" ht="15" x14ac:dyDescent="0.2">
      <c r="B2313" s="7" t="s">
        <v>879</v>
      </c>
      <c r="C2313" s="7" t="s">
        <v>6</v>
      </c>
      <c r="D2313" s="82">
        <v>132000</v>
      </c>
      <c r="E2313" s="76">
        <f t="shared" si="14"/>
        <v>132015</v>
      </c>
    </row>
    <row r="2314" spans="2:5" ht="15" x14ac:dyDescent="0.2">
      <c r="B2314" s="7" t="s">
        <v>881</v>
      </c>
      <c r="C2314" s="7" t="s">
        <v>6</v>
      </c>
      <c r="D2314" s="82">
        <v>28000</v>
      </c>
      <c r="E2314" s="76">
        <f t="shared" si="14"/>
        <v>28015</v>
      </c>
    </row>
    <row r="2315" spans="2:5" ht="15" x14ac:dyDescent="0.2">
      <c r="B2315" s="7" t="s">
        <v>883</v>
      </c>
      <c r="C2315" s="7" t="s">
        <v>516</v>
      </c>
      <c r="D2315" s="82">
        <v>1500</v>
      </c>
      <c r="E2315" s="76">
        <f t="shared" si="14"/>
        <v>1515</v>
      </c>
    </row>
    <row r="2316" spans="2:5" ht="15" x14ac:dyDescent="0.2">
      <c r="B2316" s="7" t="s">
        <v>885</v>
      </c>
      <c r="C2316" s="7" t="s">
        <v>6</v>
      </c>
      <c r="D2316" s="82">
        <v>18500</v>
      </c>
      <c r="E2316" s="76">
        <f t="shared" si="14"/>
        <v>18515</v>
      </c>
    </row>
    <row r="2317" spans="2:5" ht="15" x14ac:dyDescent="0.2">
      <c r="B2317" s="7" t="s">
        <v>887</v>
      </c>
      <c r="C2317" s="7" t="s">
        <v>37</v>
      </c>
      <c r="D2317" s="82">
        <v>55000</v>
      </c>
      <c r="E2317" s="76">
        <f t="shared" si="14"/>
        <v>55015</v>
      </c>
    </row>
    <row r="2318" spans="2:5" ht="15" x14ac:dyDescent="0.2">
      <c r="B2318" s="7" t="s">
        <v>889</v>
      </c>
      <c r="C2318" s="7" t="s">
        <v>3</v>
      </c>
      <c r="D2318" s="82">
        <v>18000</v>
      </c>
      <c r="E2318" s="76">
        <f t="shared" si="14"/>
        <v>18015</v>
      </c>
    </row>
    <row r="2319" spans="2:5" ht="15" x14ac:dyDescent="0.2">
      <c r="B2319" s="7" t="s">
        <v>891</v>
      </c>
      <c r="C2319" s="7" t="s">
        <v>37</v>
      </c>
      <c r="D2319" s="82">
        <v>41000</v>
      </c>
      <c r="E2319" s="76">
        <f t="shared" si="14"/>
        <v>41015</v>
      </c>
    </row>
    <row r="2320" spans="2:5" ht="15" x14ac:dyDescent="0.2">
      <c r="B2320" s="7" t="s">
        <v>893</v>
      </c>
      <c r="C2320" s="7" t="s">
        <v>37</v>
      </c>
      <c r="D2320" s="82">
        <v>17000</v>
      </c>
      <c r="E2320" s="76">
        <f t="shared" si="14"/>
        <v>17015</v>
      </c>
    </row>
    <row r="2321" spans="2:5" ht="15" x14ac:dyDescent="0.2">
      <c r="B2321" s="7" t="s">
        <v>895</v>
      </c>
      <c r="C2321" s="7" t="s">
        <v>37</v>
      </c>
      <c r="D2321" s="82">
        <v>27500</v>
      </c>
      <c r="E2321" s="76">
        <f t="shared" si="14"/>
        <v>27515</v>
      </c>
    </row>
    <row r="2322" spans="2:5" ht="15" x14ac:dyDescent="0.2">
      <c r="B2322" s="7"/>
      <c r="C2322" s="7"/>
      <c r="D2322" s="82"/>
      <c r="E2322" s="76"/>
    </row>
    <row r="2323" spans="2:5" ht="15" x14ac:dyDescent="0.2">
      <c r="B2323" s="7"/>
      <c r="C2323" s="7"/>
      <c r="D2323" s="82"/>
      <c r="E2323" s="76"/>
    </row>
    <row r="2324" spans="2:5" ht="15" x14ac:dyDescent="0.2">
      <c r="B2324" s="7"/>
      <c r="C2324" s="7"/>
      <c r="D2324" s="82"/>
      <c r="E2324" s="76"/>
    </row>
    <row r="2325" spans="2:5" ht="15" x14ac:dyDescent="0.2">
      <c r="B2325" s="7"/>
      <c r="C2325" s="7"/>
      <c r="D2325" s="82"/>
      <c r="E2325" s="76"/>
    </row>
    <row r="2326" spans="2:5" ht="15" x14ac:dyDescent="0.2">
      <c r="B2326" s="7"/>
      <c r="C2326" s="7"/>
      <c r="D2326" s="82"/>
      <c r="E2326" s="76"/>
    </row>
    <row r="2327" spans="2:5" ht="15" x14ac:dyDescent="0.2">
      <c r="B2327" s="7"/>
      <c r="C2327" s="7"/>
      <c r="D2327" s="82"/>
      <c r="E2327" s="76"/>
    </row>
    <row r="2328" spans="2:5" ht="15" x14ac:dyDescent="0.2">
      <c r="B2328" s="7"/>
      <c r="C2328" s="7"/>
      <c r="D2328" s="82"/>
      <c r="E2328" s="76"/>
    </row>
    <row r="2329" spans="2:5" ht="15" x14ac:dyDescent="0.2">
      <c r="B2329" s="7"/>
      <c r="C2329" s="7"/>
      <c r="D2329" s="82"/>
      <c r="E2329" s="76"/>
    </row>
    <row r="2330" spans="2:5" ht="15" x14ac:dyDescent="0.2">
      <c r="B2330" s="7"/>
      <c r="C2330" s="7"/>
      <c r="D2330" s="82"/>
      <c r="E2330" s="76"/>
    </row>
    <row r="2331" spans="2:5" ht="15" x14ac:dyDescent="0.2">
      <c r="B2331" s="7"/>
      <c r="C2331" s="7"/>
      <c r="D2331" s="82"/>
      <c r="E2331" s="76"/>
    </row>
    <row r="2332" spans="2:5" ht="15" x14ac:dyDescent="0.2">
      <c r="B2332" s="7"/>
      <c r="C2332" s="7"/>
      <c r="D2332" s="82"/>
      <c r="E2332" s="76"/>
    </row>
    <row r="2333" spans="2:5" ht="15" x14ac:dyDescent="0.2">
      <c r="B2333" s="7"/>
      <c r="C2333" s="7"/>
      <c r="D2333" s="82"/>
      <c r="E2333" s="76"/>
    </row>
    <row r="2334" spans="2:5" ht="15" x14ac:dyDescent="0.2">
      <c r="B2334" s="7"/>
      <c r="C2334" s="7"/>
      <c r="D2334" s="82"/>
      <c r="E2334" s="76"/>
    </row>
    <row r="2335" spans="2:5" ht="15" x14ac:dyDescent="0.2">
      <c r="B2335" s="7"/>
      <c r="C2335" s="7"/>
      <c r="D2335" s="82"/>
      <c r="E2335" s="76"/>
    </row>
    <row r="2336" spans="2:5" ht="15" x14ac:dyDescent="0.2">
      <c r="B2336" s="7"/>
      <c r="C2336" s="7"/>
      <c r="D2336" s="82"/>
      <c r="E2336" s="76"/>
    </row>
    <row r="2337" spans="2:5" ht="15" x14ac:dyDescent="0.2">
      <c r="B2337" s="7"/>
      <c r="C2337" s="7"/>
      <c r="D2337" s="82"/>
      <c r="E2337" s="76"/>
    </row>
    <row r="2338" spans="2:5" ht="15" x14ac:dyDescent="0.2">
      <c r="B2338" s="7"/>
      <c r="C2338" s="7"/>
      <c r="D2338" s="82"/>
      <c r="E2338" s="76"/>
    </row>
    <row r="2339" spans="2:5" ht="15" x14ac:dyDescent="0.2">
      <c r="B2339" s="7"/>
      <c r="C2339" s="7"/>
      <c r="D2339" s="82"/>
      <c r="E2339" s="76"/>
    </row>
    <row r="2340" spans="2:5" ht="15" x14ac:dyDescent="0.2">
      <c r="B2340" s="7"/>
      <c r="C2340" s="7"/>
      <c r="D2340" s="82"/>
      <c r="E2340" s="76"/>
    </row>
    <row r="2341" spans="2:5" ht="15" x14ac:dyDescent="0.2">
      <c r="B2341" s="7"/>
      <c r="C2341" s="7"/>
      <c r="D2341" s="82"/>
      <c r="E2341" s="76"/>
    </row>
    <row r="2342" spans="2:5" ht="15" x14ac:dyDescent="0.2">
      <c r="B2342" s="7"/>
      <c r="C2342" s="7"/>
      <c r="D2342" s="82"/>
      <c r="E2342" s="76"/>
    </row>
    <row r="2343" spans="2:5" ht="15" x14ac:dyDescent="0.2">
      <c r="B2343" s="7"/>
      <c r="C2343" s="7"/>
      <c r="D2343" s="82"/>
      <c r="E2343" s="76"/>
    </row>
    <row r="2344" spans="2:5" ht="15" x14ac:dyDescent="0.2">
      <c r="B2344" s="7"/>
      <c r="C2344" s="7"/>
      <c r="D2344" s="82"/>
      <c r="E2344" s="76"/>
    </row>
    <row r="2345" spans="2:5" ht="15" x14ac:dyDescent="0.2">
      <c r="B2345" s="7"/>
      <c r="C2345" s="7"/>
      <c r="D2345" s="82"/>
      <c r="E2345" s="76"/>
    </row>
    <row r="2346" spans="2:5" ht="15" x14ac:dyDescent="0.2">
      <c r="B2346" s="7"/>
      <c r="C2346" s="7"/>
      <c r="D2346" s="82"/>
      <c r="E2346" s="76"/>
    </row>
    <row r="2347" spans="2:5" ht="15" x14ac:dyDescent="0.2">
      <c r="B2347" s="7"/>
      <c r="C2347" s="7"/>
      <c r="D2347" s="82"/>
      <c r="E2347" s="76"/>
    </row>
    <row r="2348" spans="2:5" ht="15" x14ac:dyDescent="0.2">
      <c r="B2348" s="7"/>
      <c r="C2348" s="7"/>
      <c r="D2348" s="82"/>
      <c r="E2348" s="76"/>
    </row>
    <row r="2349" spans="2:5" ht="15" x14ac:dyDescent="0.2">
      <c r="B2349" s="7"/>
      <c r="C2349" s="7"/>
      <c r="D2349" s="82"/>
      <c r="E2349" s="76"/>
    </row>
    <row r="2350" spans="2:5" ht="15" x14ac:dyDescent="0.2">
      <c r="B2350" s="7"/>
      <c r="C2350" s="7"/>
      <c r="D2350" s="82"/>
      <c r="E2350" s="76"/>
    </row>
    <row r="2351" spans="2:5" ht="15" x14ac:dyDescent="0.2">
      <c r="B2351" s="7"/>
      <c r="C2351" s="7"/>
      <c r="D2351" s="82"/>
      <c r="E2351" s="76"/>
    </row>
    <row r="2352" spans="2:5" ht="15" x14ac:dyDescent="0.2">
      <c r="B2352" s="7"/>
      <c r="C2352" s="7"/>
      <c r="D2352" s="82"/>
      <c r="E2352" s="76"/>
    </row>
    <row r="2353" spans="2:5" ht="15" x14ac:dyDescent="0.2">
      <c r="B2353" s="7"/>
      <c r="C2353" s="7"/>
      <c r="D2353" s="82"/>
      <c r="E2353" s="76"/>
    </row>
    <row r="2354" spans="2:5" ht="15" x14ac:dyDescent="0.2">
      <c r="B2354" s="7"/>
      <c r="C2354" s="7"/>
      <c r="D2354" s="82"/>
      <c r="E2354" s="76"/>
    </row>
    <row r="2355" spans="2:5" ht="15" x14ac:dyDescent="0.2">
      <c r="B2355" s="7"/>
      <c r="C2355" s="7"/>
      <c r="D2355" s="82"/>
      <c r="E2355" s="76"/>
    </row>
    <row r="2356" spans="2:5" ht="15" x14ac:dyDescent="0.2">
      <c r="B2356" s="7"/>
      <c r="C2356" s="7"/>
      <c r="D2356" s="82"/>
      <c r="E2356" s="76"/>
    </row>
    <row r="2357" spans="2:5" ht="15" x14ac:dyDescent="0.2">
      <c r="B2357" s="7"/>
      <c r="C2357" s="7"/>
      <c r="D2357" s="82"/>
      <c r="E2357" s="76"/>
    </row>
    <row r="2358" spans="2:5" ht="15" x14ac:dyDescent="0.2">
      <c r="B2358" s="7"/>
      <c r="C2358" s="7"/>
      <c r="D2358" s="82"/>
      <c r="E2358" s="76"/>
    </row>
    <row r="2359" spans="2:5" ht="15" x14ac:dyDescent="0.2">
      <c r="B2359" s="7"/>
      <c r="C2359" s="7"/>
      <c r="D2359" s="82"/>
      <c r="E2359" s="76"/>
    </row>
    <row r="2360" spans="2:5" ht="15" x14ac:dyDescent="0.2">
      <c r="B2360" s="7"/>
      <c r="C2360" s="7"/>
      <c r="D2360" s="82"/>
      <c r="E2360" s="76"/>
    </row>
    <row r="2361" spans="2:5" ht="15" x14ac:dyDescent="0.2">
      <c r="B2361" s="7"/>
      <c r="C2361" s="7"/>
      <c r="D2361" s="82"/>
      <c r="E2361" s="76"/>
    </row>
    <row r="2362" spans="2:5" ht="15" x14ac:dyDescent="0.2">
      <c r="B2362" s="7"/>
      <c r="C2362" s="7"/>
      <c r="D2362" s="82"/>
      <c r="E2362" s="76"/>
    </row>
    <row r="2363" spans="2:5" ht="15" x14ac:dyDescent="0.2">
      <c r="B2363" s="7"/>
      <c r="C2363" s="7"/>
      <c r="D2363" s="82"/>
      <c r="E2363" s="76"/>
    </row>
    <row r="2364" spans="2:5" ht="15" x14ac:dyDescent="0.2">
      <c r="B2364" s="7"/>
      <c r="C2364" s="7"/>
      <c r="D2364" s="82"/>
      <c r="E2364" s="76"/>
    </row>
    <row r="2365" spans="2:5" ht="15" x14ac:dyDescent="0.2">
      <c r="B2365" s="7"/>
      <c r="C2365" s="7"/>
      <c r="D2365" s="82"/>
      <c r="E2365" s="76"/>
    </row>
    <row r="2366" spans="2:5" ht="15" x14ac:dyDescent="0.2">
      <c r="B2366" s="7"/>
      <c r="C2366" s="7"/>
      <c r="D2366" s="82"/>
      <c r="E2366" s="76"/>
    </row>
    <row r="2367" spans="2:5" ht="15" x14ac:dyDescent="0.2">
      <c r="B2367" s="7"/>
      <c r="C2367" s="7"/>
      <c r="D2367" s="82"/>
      <c r="E2367" s="76"/>
    </row>
    <row r="2368" spans="2:5" ht="15" x14ac:dyDescent="0.2">
      <c r="B2368" s="7"/>
      <c r="C2368" s="7"/>
      <c r="D2368" s="82"/>
      <c r="E2368" s="76"/>
    </row>
    <row r="2369" spans="2:5" ht="15" x14ac:dyDescent="0.2">
      <c r="B2369" s="7"/>
      <c r="C2369" s="7"/>
      <c r="D2369" s="82"/>
      <c r="E2369" s="76"/>
    </row>
    <row r="2370" spans="2:5" ht="15" x14ac:dyDescent="0.2">
      <c r="B2370" s="7"/>
      <c r="C2370" s="7"/>
      <c r="D2370" s="82"/>
      <c r="E2370" s="76"/>
    </row>
    <row r="2371" spans="2:5" ht="15" x14ac:dyDescent="0.2">
      <c r="B2371" s="7"/>
      <c r="C2371" s="7"/>
      <c r="D2371" s="82"/>
      <c r="E2371" s="76"/>
    </row>
    <row r="2372" spans="2:5" ht="15" x14ac:dyDescent="0.2">
      <c r="B2372" s="7"/>
      <c r="C2372" s="7"/>
      <c r="D2372" s="82"/>
      <c r="E2372" s="76"/>
    </row>
    <row r="2373" spans="2:5" ht="15" x14ac:dyDescent="0.2">
      <c r="B2373" s="7"/>
      <c r="C2373" s="7"/>
      <c r="D2373" s="82"/>
      <c r="E2373" s="76"/>
    </row>
    <row r="2374" spans="2:5" ht="15" x14ac:dyDescent="0.2">
      <c r="B2374" s="7"/>
      <c r="C2374" s="7"/>
      <c r="D2374" s="82"/>
      <c r="E2374" s="76"/>
    </row>
    <row r="2375" spans="2:5" ht="15" x14ac:dyDescent="0.2">
      <c r="B2375" s="7"/>
      <c r="C2375" s="7"/>
      <c r="D2375" s="82"/>
      <c r="E2375" s="76"/>
    </row>
    <row r="2376" spans="2:5" ht="15" x14ac:dyDescent="0.2">
      <c r="B2376" s="7"/>
      <c r="C2376" s="7"/>
      <c r="D2376" s="82"/>
      <c r="E2376" s="76"/>
    </row>
    <row r="2377" spans="2:5" ht="15" x14ac:dyDescent="0.2">
      <c r="B2377" s="7"/>
      <c r="C2377" s="7"/>
      <c r="D2377" s="82"/>
      <c r="E2377" s="76"/>
    </row>
    <row r="2378" spans="2:5" ht="15" x14ac:dyDescent="0.2">
      <c r="B2378" s="7"/>
      <c r="C2378" s="7"/>
      <c r="D2378" s="82"/>
      <c r="E2378" s="76"/>
    </row>
    <row r="2379" spans="2:5" ht="15" x14ac:dyDescent="0.2">
      <c r="B2379" s="7"/>
      <c r="C2379" s="7"/>
      <c r="D2379" s="82"/>
      <c r="E2379" s="76"/>
    </row>
    <row r="2380" spans="2:5" ht="15" x14ac:dyDescent="0.2">
      <c r="B2380" s="7"/>
      <c r="C2380" s="7"/>
      <c r="D2380" s="82"/>
      <c r="E2380" s="76"/>
    </row>
    <row r="2381" spans="2:5" ht="15" x14ac:dyDescent="0.2">
      <c r="B2381" s="7"/>
      <c r="C2381" s="7"/>
      <c r="D2381" s="82"/>
      <c r="E2381" s="76"/>
    </row>
    <row r="2382" spans="2:5" ht="15" x14ac:dyDescent="0.2">
      <c r="B2382" s="7"/>
      <c r="C2382" s="7"/>
      <c r="D2382" s="82"/>
      <c r="E2382" s="76"/>
    </row>
    <row r="2383" spans="2:5" ht="15" x14ac:dyDescent="0.2">
      <c r="B2383" s="7"/>
      <c r="C2383" s="7"/>
      <c r="D2383" s="82"/>
      <c r="E2383" s="76"/>
    </row>
    <row r="2384" spans="2:5" ht="15" x14ac:dyDescent="0.2">
      <c r="B2384" s="7"/>
      <c r="C2384" s="7"/>
      <c r="D2384" s="82"/>
      <c r="E2384" s="76"/>
    </row>
    <row r="2385" spans="2:5" ht="15" x14ac:dyDescent="0.2">
      <c r="B2385" s="7"/>
      <c r="C2385" s="7"/>
      <c r="D2385" s="82"/>
      <c r="E2385" s="76"/>
    </row>
    <row r="2386" spans="2:5" ht="15" x14ac:dyDescent="0.2">
      <c r="B2386" s="7"/>
      <c r="C2386" s="7"/>
      <c r="D2386" s="82"/>
      <c r="E2386" s="76"/>
    </row>
    <row r="2387" spans="2:5" ht="15" x14ac:dyDescent="0.2">
      <c r="B2387" s="7"/>
      <c r="C2387" s="7"/>
      <c r="D2387" s="82"/>
      <c r="E2387" s="76"/>
    </row>
    <row r="2388" spans="2:5" ht="15" x14ac:dyDescent="0.2">
      <c r="B2388" s="7"/>
      <c r="C2388" s="7"/>
      <c r="D2388" s="82"/>
      <c r="E2388" s="76"/>
    </row>
    <row r="2389" spans="2:5" ht="15" x14ac:dyDescent="0.2">
      <c r="B2389" s="7"/>
      <c r="C2389" s="7"/>
      <c r="D2389" s="82"/>
      <c r="E2389" s="76"/>
    </row>
    <row r="2390" spans="2:5" ht="15" x14ac:dyDescent="0.2">
      <c r="B2390" s="7"/>
      <c r="C2390" s="7"/>
      <c r="D2390" s="82"/>
      <c r="E2390" s="76"/>
    </row>
    <row r="2391" spans="2:5" ht="15" x14ac:dyDescent="0.2">
      <c r="B2391" s="7"/>
      <c r="C2391" s="7"/>
      <c r="D2391" s="82"/>
      <c r="E2391" s="76"/>
    </row>
    <row r="2392" spans="2:5" ht="15" x14ac:dyDescent="0.2">
      <c r="B2392" s="7"/>
      <c r="C2392" s="7"/>
      <c r="D2392" s="82"/>
      <c r="E2392" s="76"/>
    </row>
    <row r="2393" spans="2:5" ht="15" x14ac:dyDescent="0.2">
      <c r="B2393" s="7"/>
      <c r="C2393" s="7"/>
      <c r="D2393" s="82"/>
      <c r="E2393" s="76"/>
    </row>
    <row r="2394" spans="2:5" ht="15" x14ac:dyDescent="0.2">
      <c r="B2394" s="7"/>
      <c r="C2394" s="7"/>
      <c r="D2394" s="82"/>
      <c r="E2394" s="76"/>
    </row>
    <row r="2395" spans="2:5" ht="15" x14ac:dyDescent="0.2">
      <c r="B2395" s="7"/>
      <c r="C2395" s="7"/>
      <c r="D2395" s="82"/>
      <c r="E2395" s="76"/>
    </row>
    <row r="2396" spans="2:5" ht="15" x14ac:dyDescent="0.2">
      <c r="B2396" s="7"/>
      <c r="C2396" s="7"/>
      <c r="D2396" s="82"/>
      <c r="E2396" s="76"/>
    </row>
    <row r="2397" spans="2:5" ht="15" x14ac:dyDescent="0.2">
      <c r="B2397" s="7"/>
      <c r="C2397" s="7"/>
      <c r="D2397" s="82"/>
      <c r="E2397" s="76"/>
    </row>
    <row r="2398" spans="2:5" ht="15" x14ac:dyDescent="0.2">
      <c r="B2398" s="7"/>
      <c r="C2398" s="7"/>
      <c r="D2398" s="82"/>
      <c r="E2398" s="76"/>
    </row>
    <row r="2399" spans="2:5" ht="15" x14ac:dyDescent="0.2">
      <c r="B2399" s="7"/>
      <c r="C2399" s="7"/>
      <c r="D2399" s="82"/>
      <c r="E2399" s="76"/>
    </row>
    <row r="2400" spans="2:5" ht="15" x14ac:dyDescent="0.2">
      <c r="B2400" s="7"/>
      <c r="C2400" s="7"/>
      <c r="D2400" s="82"/>
      <c r="E2400" s="76"/>
    </row>
    <row r="2401" spans="2:5" ht="15" x14ac:dyDescent="0.2">
      <c r="B2401" s="7"/>
      <c r="C2401" s="7"/>
      <c r="D2401" s="82"/>
      <c r="E2401" s="76"/>
    </row>
    <row r="2402" spans="2:5" ht="15" x14ac:dyDescent="0.2">
      <c r="B2402" s="7"/>
      <c r="C2402" s="7"/>
      <c r="D2402" s="82"/>
      <c r="E2402" s="76"/>
    </row>
    <row r="2403" spans="2:5" ht="15" x14ac:dyDescent="0.2">
      <c r="B2403" s="7"/>
      <c r="C2403" s="7"/>
      <c r="D2403" s="82"/>
      <c r="E2403" s="76"/>
    </row>
    <row r="2404" spans="2:5" ht="15" x14ac:dyDescent="0.2">
      <c r="B2404" s="7"/>
      <c r="C2404" s="7"/>
      <c r="D2404" s="82"/>
      <c r="E2404" s="76"/>
    </row>
    <row r="2405" spans="2:5" ht="15" x14ac:dyDescent="0.2">
      <c r="B2405" s="7"/>
      <c r="C2405" s="7"/>
      <c r="D2405" s="82"/>
      <c r="E2405" s="76"/>
    </row>
    <row r="2406" spans="2:5" ht="15" x14ac:dyDescent="0.2">
      <c r="B2406" s="7"/>
      <c r="C2406" s="7"/>
      <c r="D2406" s="82"/>
      <c r="E2406" s="76"/>
    </row>
    <row r="2407" spans="2:5" ht="15" x14ac:dyDescent="0.2">
      <c r="B2407" s="7"/>
      <c r="C2407" s="7"/>
      <c r="D2407" s="82"/>
      <c r="E2407" s="76"/>
    </row>
    <row r="2408" spans="2:5" ht="15" x14ac:dyDescent="0.2">
      <c r="B2408" s="7"/>
      <c r="C2408" s="7"/>
      <c r="D2408" s="82"/>
      <c r="E2408" s="76"/>
    </row>
    <row r="2409" spans="2:5" ht="15" x14ac:dyDescent="0.2">
      <c r="B2409" s="7"/>
      <c r="C2409" s="7"/>
      <c r="D2409" s="82"/>
      <c r="E2409" s="76"/>
    </row>
    <row r="2410" spans="2:5" ht="15" x14ac:dyDescent="0.2">
      <c r="B2410" s="7"/>
      <c r="C2410" s="7"/>
      <c r="D2410" s="82"/>
      <c r="E2410" s="76"/>
    </row>
    <row r="2411" spans="2:5" ht="15" x14ac:dyDescent="0.2">
      <c r="B2411" s="7"/>
      <c r="C2411" s="7"/>
      <c r="D2411" s="82"/>
      <c r="E2411" s="76"/>
    </row>
    <row r="2412" spans="2:5" ht="15" x14ac:dyDescent="0.2">
      <c r="B2412" s="7"/>
      <c r="C2412" s="7"/>
      <c r="D2412" s="82"/>
      <c r="E2412" s="76"/>
    </row>
    <row r="2413" spans="2:5" ht="15" x14ac:dyDescent="0.2">
      <c r="B2413" s="7"/>
      <c r="C2413" s="7"/>
      <c r="D2413" s="82"/>
      <c r="E2413" s="76"/>
    </row>
    <row r="2414" spans="2:5" ht="15" x14ac:dyDescent="0.2">
      <c r="B2414" s="7"/>
      <c r="C2414" s="7"/>
      <c r="D2414" s="82"/>
      <c r="E2414" s="76"/>
    </row>
    <row r="2415" spans="2:5" ht="15" x14ac:dyDescent="0.2">
      <c r="B2415" s="7"/>
      <c r="C2415" s="7"/>
      <c r="D2415" s="82"/>
      <c r="E2415" s="76"/>
    </row>
    <row r="2416" spans="2:5" ht="15" x14ac:dyDescent="0.2">
      <c r="B2416" s="7"/>
      <c r="C2416" s="7"/>
      <c r="D2416" s="82"/>
      <c r="E2416" s="76"/>
    </row>
    <row r="2417" spans="1:5" ht="15" x14ac:dyDescent="0.2">
      <c r="B2417" s="7"/>
      <c r="C2417" s="7"/>
      <c r="D2417" s="82"/>
      <c r="E2417" s="76"/>
    </row>
    <row r="2418" spans="1:5" ht="15" x14ac:dyDescent="0.2">
      <c r="B2418" s="7"/>
      <c r="C2418" s="7"/>
      <c r="D2418" s="82"/>
      <c r="E2418" s="76"/>
    </row>
    <row r="2419" spans="1:5" ht="15" x14ac:dyDescent="0.2">
      <c r="B2419" s="7"/>
      <c r="C2419" s="7"/>
      <c r="D2419" s="82"/>
      <c r="E2419" s="76"/>
    </row>
    <row r="2420" spans="1:5" ht="15" x14ac:dyDescent="0.2">
      <c r="B2420" s="7"/>
      <c r="C2420" s="7"/>
      <c r="D2420" s="82"/>
      <c r="E2420" s="76"/>
    </row>
    <row r="2421" spans="1:5" ht="15" x14ac:dyDescent="0.2">
      <c r="B2421" s="7"/>
      <c r="C2421" s="7"/>
      <c r="D2421" s="82"/>
      <c r="E2421" s="76"/>
    </row>
    <row r="2422" spans="1:5" ht="15" x14ac:dyDescent="0.2">
      <c r="B2422" s="7"/>
      <c r="C2422" s="7"/>
      <c r="D2422" s="82"/>
      <c r="E2422" s="76"/>
    </row>
    <row r="2423" spans="1:5" ht="15" x14ac:dyDescent="0.2">
      <c r="A2423" s="53" t="s">
        <v>2441</v>
      </c>
      <c r="B2423" s="7" t="s">
        <v>897</v>
      </c>
      <c r="C2423" s="7" t="s">
        <v>6</v>
      </c>
      <c r="D2423" s="82">
        <v>21500</v>
      </c>
      <c r="E2423" s="76">
        <f t="shared" si="14"/>
        <v>21515</v>
      </c>
    </row>
    <row r="2424" spans="1:5" ht="15" x14ac:dyDescent="0.2">
      <c r="B2424" s="7" t="s">
        <v>899</v>
      </c>
      <c r="C2424" s="7" t="s">
        <v>900</v>
      </c>
      <c r="D2424" s="82">
        <v>100000</v>
      </c>
      <c r="E2424" s="76">
        <f t="shared" si="14"/>
        <v>100015</v>
      </c>
    </row>
    <row r="2425" spans="1:5" ht="15" x14ac:dyDescent="0.2">
      <c r="B2425" s="7" t="s">
        <v>902</v>
      </c>
      <c r="C2425" s="7" t="s">
        <v>6</v>
      </c>
      <c r="D2425" s="82">
        <v>80000</v>
      </c>
      <c r="E2425" s="76">
        <f t="shared" si="14"/>
        <v>80015</v>
      </c>
    </row>
    <row r="2426" spans="1:5" ht="15" x14ac:dyDescent="0.2">
      <c r="B2426" s="7" t="s">
        <v>904</v>
      </c>
      <c r="C2426" s="7" t="s">
        <v>6</v>
      </c>
      <c r="D2426" s="82">
        <v>258000</v>
      </c>
      <c r="E2426" s="76">
        <f t="shared" si="14"/>
        <v>258015</v>
      </c>
    </row>
    <row r="2427" spans="1:5" ht="15" x14ac:dyDescent="0.2">
      <c r="B2427" s="7" t="s">
        <v>906</v>
      </c>
      <c r="C2427" s="7" t="s">
        <v>6</v>
      </c>
      <c r="D2427" s="82">
        <v>119000</v>
      </c>
      <c r="E2427" s="76">
        <f t="shared" si="14"/>
        <v>119015</v>
      </c>
    </row>
    <row r="2428" spans="1:5" ht="15" x14ac:dyDescent="0.2">
      <c r="B2428" s="7" t="s">
        <v>908</v>
      </c>
      <c r="C2428" s="7" t="s">
        <v>3</v>
      </c>
      <c r="D2428" s="82">
        <v>230000</v>
      </c>
      <c r="E2428" s="76">
        <f t="shared" si="14"/>
        <v>230015</v>
      </c>
    </row>
    <row r="2429" spans="1:5" ht="15" x14ac:dyDescent="0.2">
      <c r="B2429" s="7" t="s">
        <v>910</v>
      </c>
      <c r="C2429" s="7" t="s">
        <v>6</v>
      </c>
      <c r="D2429" s="82">
        <v>26000</v>
      </c>
      <c r="E2429" s="76">
        <f t="shared" si="14"/>
        <v>26015</v>
      </c>
    </row>
    <row r="2430" spans="1:5" ht="15" x14ac:dyDescent="0.2">
      <c r="B2430" s="7" t="s">
        <v>912</v>
      </c>
      <c r="C2430" s="7" t="s">
        <v>6</v>
      </c>
      <c r="D2430" s="82">
        <v>44500</v>
      </c>
      <c r="E2430" s="76">
        <f t="shared" si="14"/>
        <v>44515</v>
      </c>
    </row>
    <row r="2431" spans="1:5" ht="15" x14ac:dyDescent="0.2">
      <c r="B2431" s="7" t="s">
        <v>914</v>
      </c>
      <c r="C2431" s="7" t="s">
        <v>6</v>
      </c>
      <c r="D2431" s="82">
        <v>37500</v>
      </c>
      <c r="E2431" s="76">
        <f t="shared" si="14"/>
        <v>37515</v>
      </c>
    </row>
    <row r="2432" spans="1:5" ht="15" x14ac:dyDescent="0.2">
      <c r="B2432" s="7" t="s">
        <v>916</v>
      </c>
      <c r="C2432" s="7" t="s">
        <v>6</v>
      </c>
      <c r="D2432" s="82">
        <v>37000</v>
      </c>
      <c r="E2432" s="76">
        <f t="shared" si="14"/>
        <v>37015</v>
      </c>
    </row>
    <row r="2433" spans="2:5" ht="15" x14ac:dyDescent="0.2">
      <c r="B2433" s="7" t="s">
        <v>918</v>
      </c>
      <c r="C2433" s="7" t="s">
        <v>3</v>
      </c>
      <c r="D2433" s="82">
        <v>135000</v>
      </c>
      <c r="E2433" s="76">
        <f t="shared" si="14"/>
        <v>135015</v>
      </c>
    </row>
    <row r="2434" spans="2:5" ht="15" x14ac:dyDescent="0.2">
      <c r="B2434" s="7" t="s">
        <v>920</v>
      </c>
      <c r="C2434" s="7" t="s">
        <v>3</v>
      </c>
      <c r="D2434" s="82">
        <v>95000</v>
      </c>
      <c r="E2434" s="76">
        <f t="shared" si="14"/>
        <v>95015</v>
      </c>
    </row>
    <row r="2435" spans="2:5" ht="15" x14ac:dyDescent="0.2">
      <c r="B2435" s="7" t="s">
        <v>922</v>
      </c>
      <c r="C2435" s="7" t="s">
        <v>6</v>
      </c>
      <c r="D2435" s="82">
        <v>29500</v>
      </c>
      <c r="E2435" s="76">
        <f t="shared" si="14"/>
        <v>29515</v>
      </c>
    </row>
    <row r="2436" spans="2:5" ht="15" x14ac:dyDescent="0.2">
      <c r="B2436" s="7" t="s">
        <v>924</v>
      </c>
      <c r="C2436" s="7" t="s">
        <v>6</v>
      </c>
      <c r="D2436" s="82">
        <v>25000</v>
      </c>
      <c r="E2436" s="76">
        <f t="shared" si="14"/>
        <v>25015</v>
      </c>
    </row>
    <row r="2437" spans="2:5" ht="15" x14ac:dyDescent="0.2">
      <c r="B2437" s="7" t="s">
        <v>926</v>
      </c>
      <c r="C2437" s="7" t="s">
        <v>6</v>
      </c>
      <c r="D2437" s="82">
        <v>24000</v>
      </c>
      <c r="E2437" s="76">
        <f t="shared" si="14"/>
        <v>24015</v>
      </c>
    </row>
    <row r="2438" spans="2:5" ht="15" x14ac:dyDescent="0.2">
      <c r="B2438" s="7" t="s">
        <v>928</v>
      </c>
      <c r="C2438" s="7" t="s">
        <v>6</v>
      </c>
      <c r="D2438" s="82">
        <v>97000</v>
      </c>
      <c r="E2438" s="76">
        <f t="shared" si="14"/>
        <v>97015</v>
      </c>
    </row>
    <row r="2439" spans="2:5" ht="15" x14ac:dyDescent="0.2">
      <c r="B2439" s="7" t="s">
        <v>930</v>
      </c>
      <c r="C2439" s="7" t="s">
        <v>6</v>
      </c>
      <c r="D2439" s="82">
        <v>25000</v>
      </c>
      <c r="E2439" s="76">
        <f t="shared" si="14"/>
        <v>25015</v>
      </c>
    </row>
    <row r="2440" spans="2:5" ht="15" x14ac:dyDescent="0.2">
      <c r="B2440" s="7" t="s">
        <v>932</v>
      </c>
      <c r="C2440" s="7" t="s">
        <v>608</v>
      </c>
      <c r="D2440" s="82">
        <v>1200</v>
      </c>
      <c r="E2440" s="76">
        <f t="shared" si="14"/>
        <v>1215</v>
      </c>
    </row>
    <row r="2441" spans="2:5" ht="15" x14ac:dyDescent="0.2">
      <c r="B2441" s="7" t="s">
        <v>934</v>
      </c>
      <c r="C2441" s="7" t="s">
        <v>6</v>
      </c>
      <c r="D2441" s="82">
        <v>35000</v>
      </c>
      <c r="E2441" s="76">
        <f t="shared" si="14"/>
        <v>35015</v>
      </c>
    </row>
    <row r="2442" spans="2:5" ht="15" x14ac:dyDescent="0.2">
      <c r="B2442" s="7" t="s">
        <v>936</v>
      </c>
      <c r="C2442" s="7" t="s">
        <v>6</v>
      </c>
      <c r="D2442" s="82">
        <v>37000</v>
      </c>
      <c r="E2442" s="76">
        <f t="shared" si="14"/>
        <v>37015</v>
      </c>
    </row>
    <row r="2443" spans="2:5" ht="15" x14ac:dyDescent="0.2">
      <c r="B2443" s="7" t="s">
        <v>938</v>
      </c>
      <c r="C2443" s="7" t="s">
        <v>3</v>
      </c>
      <c r="D2443" s="82">
        <v>38000</v>
      </c>
      <c r="E2443" s="76">
        <f t="shared" si="14"/>
        <v>38015</v>
      </c>
    </row>
    <row r="2444" spans="2:5" ht="15" x14ac:dyDescent="0.2">
      <c r="B2444" s="7" t="s">
        <v>941</v>
      </c>
      <c r="C2444" s="7" t="s">
        <v>101</v>
      </c>
      <c r="D2444" s="82">
        <v>12000</v>
      </c>
      <c r="E2444" s="76">
        <f t="shared" si="14"/>
        <v>12015</v>
      </c>
    </row>
    <row r="2445" spans="2:5" ht="15" x14ac:dyDescent="0.2">
      <c r="B2445" s="7" t="s">
        <v>943</v>
      </c>
      <c r="C2445" s="7" t="s">
        <v>6</v>
      </c>
      <c r="D2445" s="82">
        <v>28000</v>
      </c>
      <c r="E2445" s="76">
        <f t="shared" si="14"/>
        <v>28015</v>
      </c>
    </row>
    <row r="2446" spans="2:5" ht="15" x14ac:dyDescent="0.2">
      <c r="B2446" s="7" t="s">
        <v>945</v>
      </c>
      <c r="C2446" s="7" t="s">
        <v>6</v>
      </c>
      <c r="D2446" s="82">
        <v>177000</v>
      </c>
      <c r="E2446" s="76">
        <f t="shared" si="14"/>
        <v>177015</v>
      </c>
    </row>
    <row r="2447" spans="2:5" ht="15" x14ac:dyDescent="0.2">
      <c r="B2447" s="7" t="s">
        <v>947</v>
      </c>
      <c r="C2447" s="7" t="s">
        <v>6</v>
      </c>
      <c r="D2447" s="82">
        <v>73000</v>
      </c>
      <c r="E2447" s="76">
        <f t="shared" si="14"/>
        <v>73015</v>
      </c>
    </row>
    <row r="2448" spans="2:5" ht="15" x14ac:dyDescent="0.2">
      <c r="B2448" s="7" t="s">
        <v>949</v>
      </c>
      <c r="C2448" s="7" t="s">
        <v>6</v>
      </c>
      <c r="D2448" s="82">
        <v>38200</v>
      </c>
      <c r="E2448" s="76">
        <f t="shared" si="14"/>
        <v>38215</v>
      </c>
    </row>
    <row r="2449" spans="2:5" ht="15" x14ac:dyDescent="0.2">
      <c r="B2449" s="7" t="s">
        <v>951</v>
      </c>
      <c r="C2449" s="7" t="s">
        <v>6</v>
      </c>
      <c r="D2449" s="82">
        <v>54000</v>
      </c>
      <c r="E2449" s="76">
        <f t="shared" si="14"/>
        <v>54015</v>
      </c>
    </row>
    <row r="2450" spans="2:5" ht="15" x14ac:dyDescent="0.2">
      <c r="B2450" s="7" t="s">
        <v>953</v>
      </c>
      <c r="C2450" s="7" t="s">
        <v>6</v>
      </c>
      <c r="D2450" s="82">
        <v>87000</v>
      </c>
      <c r="E2450" s="76">
        <f t="shared" si="14"/>
        <v>87015</v>
      </c>
    </row>
    <row r="2451" spans="2:5" ht="15" x14ac:dyDescent="0.2">
      <c r="B2451" s="7" t="s">
        <v>955</v>
      </c>
      <c r="C2451" s="7" t="s">
        <v>6</v>
      </c>
      <c r="D2451" s="82">
        <v>34000</v>
      </c>
      <c r="E2451" s="76">
        <f t="shared" si="14"/>
        <v>34015</v>
      </c>
    </row>
    <row r="2452" spans="2:5" ht="15" x14ac:dyDescent="0.2">
      <c r="B2452" s="7" t="s">
        <v>957</v>
      </c>
      <c r="C2452" s="7" t="s">
        <v>323</v>
      </c>
      <c r="D2452" s="83">
        <v>80000</v>
      </c>
      <c r="E2452" s="76">
        <f t="shared" si="14"/>
        <v>80015</v>
      </c>
    </row>
    <row r="2453" spans="2:5" ht="15" x14ac:dyDescent="0.2">
      <c r="B2453" s="7" t="s">
        <v>958</v>
      </c>
      <c r="C2453" s="7" t="s">
        <v>6</v>
      </c>
      <c r="D2453" s="80">
        <v>47000</v>
      </c>
      <c r="E2453" s="76">
        <f t="shared" si="14"/>
        <v>47015</v>
      </c>
    </row>
    <row r="2454" spans="2:5" ht="15" x14ac:dyDescent="0.2">
      <c r="B2454" s="7" t="s">
        <v>960</v>
      </c>
      <c r="C2454" s="7" t="s">
        <v>3</v>
      </c>
      <c r="D2454" s="80">
        <v>25000</v>
      </c>
      <c r="E2454" s="76">
        <f t="shared" si="14"/>
        <v>25015</v>
      </c>
    </row>
    <row r="2455" spans="2:5" ht="15" x14ac:dyDescent="0.2">
      <c r="B2455" s="7" t="s">
        <v>962</v>
      </c>
      <c r="C2455" s="7" t="s">
        <v>3</v>
      </c>
      <c r="D2455" s="80">
        <v>20500</v>
      </c>
      <c r="E2455" s="76">
        <f t="shared" si="14"/>
        <v>20515</v>
      </c>
    </row>
    <row r="2456" spans="2:5" ht="15" x14ac:dyDescent="0.2">
      <c r="B2456" s="7" t="s">
        <v>964</v>
      </c>
      <c r="C2456" s="7" t="s">
        <v>6</v>
      </c>
      <c r="D2456" s="80">
        <v>78000</v>
      </c>
      <c r="E2456" s="76">
        <f t="shared" si="14"/>
        <v>78015</v>
      </c>
    </row>
    <row r="2457" spans="2:5" ht="15" x14ac:dyDescent="0.2">
      <c r="B2457" s="7" t="s">
        <v>966</v>
      </c>
      <c r="C2457" s="7" t="s">
        <v>6</v>
      </c>
      <c r="D2457" s="80">
        <v>34000</v>
      </c>
      <c r="E2457" s="76">
        <f t="shared" si="14"/>
        <v>34015</v>
      </c>
    </row>
    <row r="2458" spans="2:5" ht="15" x14ac:dyDescent="0.2">
      <c r="B2458" s="7" t="s">
        <v>968</v>
      </c>
      <c r="C2458" s="7" t="s">
        <v>3</v>
      </c>
      <c r="D2458" s="80">
        <v>178000</v>
      </c>
      <c r="E2458" s="76">
        <f t="shared" si="14"/>
        <v>178015</v>
      </c>
    </row>
    <row r="2459" spans="2:5" ht="15" x14ac:dyDescent="0.2">
      <c r="B2459" s="7" t="s">
        <v>970</v>
      </c>
      <c r="C2459" s="7" t="s">
        <v>6</v>
      </c>
      <c r="D2459" s="80">
        <v>25000</v>
      </c>
      <c r="E2459" s="76">
        <f t="shared" si="14"/>
        <v>25015</v>
      </c>
    </row>
    <row r="2460" spans="2:5" ht="15" x14ac:dyDescent="0.2">
      <c r="B2460" s="7" t="s">
        <v>972</v>
      </c>
      <c r="C2460" s="7" t="s">
        <v>3</v>
      </c>
      <c r="D2460" s="80">
        <v>19000</v>
      </c>
      <c r="E2460" s="76">
        <f t="shared" si="14"/>
        <v>19015</v>
      </c>
    </row>
    <row r="2461" spans="2:5" ht="15" x14ac:dyDescent="0.2">
      <c r="B2461" s="7" t="s">
        <v>974</v>
      </c>
      <c r="C2461" s="7" t="s">
        <v>12</v>
      </c>
      <c r="D2461" s="80">
        <v>11500</v>
      </c>
      <c r="E2461" s="76">
        <f t="shared" si="14"/>
        <v>11515</v>
      </c>
    </row>
    <row r="2462" spans="2:5" ht="15" x14ac:dyDescent="0.2">
      <c r="B2462" s="7" t="s">
        <v>976</v>
      </c>
      <c r="C2462" s="7" t="s">
        <v>6</v>
      </c>
      <c r="D2462" s="80">
        <v>16000</v>
      </c>
      <c r="E2462" s="76">
        <f t="shared" si="14"/>
        <v>16015</v>
      </c>
    </row>
    <row r="2463" spans="2:5" ht="15" x14ac:dyDescent="0.2">
      <c r="B2463" s="7" t="s">
        <v>978</v>
      </c>
      <c r="C2463" s="7" t="s">
        <v>3</v>
      </c>
      <c r="D2463" s="80">
        <v>57000</v>
      </c>
      <c r="E2463" s="76">
        <f t="shared" si="14"/>
        <v>57015</v>
      </c>
    </row>
    <row r="2464" spans="2:5" ht="15" x14ac:dyDescent="0.2">
      <c r="B2464" s="7" t="s">
        <v>980</v>
      </c>
      <c r="C2464" s="7" t="s">
        <v>6</v>
      </c>
      <c r="D2464" s="80">
        <v>55000</v>
      </c>
      <c r="E2464" s="76">
        <f t="shared" ref="E2464:E2627" si="15">D2464+15</f>
        <v>55015</v>
      </c>
    </row>
    <row r="2465" spans="2:5" ht="15" x14ac:dyDescent="0.2">
      <c r="B2465" s="7" t="s">
        <v>982</v>
      </c>
      <c r="C2465" s="7" t="s">
        <v>6</v>
      </c>
      <c r="D2465" s="80">
        <v>140000</v>
      </c>
      <c r="E2465" s="76">
        <f t="shared" si="15"/>
        <v>140015</v>
      </c>
    </row>
    <row r="2466" spans="2:5" ht="15" x14ac:dyDescent="0.2">
      <c r="B2466" s="7" t="s">
        <v>984</v>
      </c>
      <c r="C2466" s="7" t="s">
        <v>6</v>
      </c>
      <c r="D2466" s="80">
        <v>176000</v>
      </c>
      <c r="E2466" s="76">
        <f t="shared" si="15"/>
        <v>176015</v>
      </c>
    </row>
    <row r="2467" spans="2:5" ht="15" x14ac:dyDescent="0.2">
      <c r="B2467" s="7" t="s">
        <v>986</v>
      </c>
      <c r="C2467" s="7" t="s">
        <v>6</v>
      </c>
      <c r="D2467" s="80">
        <v>21000</v>
      </c>
      <c r="E2467" s="76">
        <f t="shared" si="15"/>
        <v>21015</v>
      </c>
    </row>
    <row r="2468" spans="2:5" ht="15" x14ac:dyDescent="0.2">
      <c r="B2468" s="7" t="s">
        <v>988</v>
      </c>
      <c r="C2468" s="7" t="s">
        <v>3</v>
      </c>
      <c r="D2468" s="80">
        <v>51000</v>
      </c>
      <c r="E2468" s="76">
        <f t="shared" si="15"/>
        <v>51015</v>
      </c>
    </row>
    <row r="2469" spans="2:5" ht="15" x14ac:dyDescent="0.2">
      <c r="B2469" s="7" t="s">
        <v>990</v>
      </c>
      <c r="C2469" s="7" t="s">
        <v>3</v>
      </c>
      <c r="D2469" s="80">
        <v>26000</v>
      </c>
      <c r="E2469" s="76">
        <f t="shared" si="15"/>
        <v>26015</v>
      </c>
    </row>
    <row r="2470" spans="2:5" ht="15" x14ac:dyDescent="0.2">
      <c r="B2470" s="7" t="s">
        <v>992</v>
      </c>
      <c r="C2470" s="7" t="s">
        <v>3</v>
      </c>
      <c r="D2470" s="80">
        <v>20500</v>
      </c>
      <c r="E2470" s="76">
        <f t="shared" si="15"/>
        <v>20515</v>
      </c>
    </row>
    <row r="2471" spans="2:5" ht="15" x14ac:dyDescent="0.2">
      <c r="B2471" s="7" t="s">
        <v>994</v>
      </c>
      <c r="C2471" s="7" t="s">
        <v>3</v>
      </c>
      <c r="D2471" s="80">
        <v>45000</v>
      </c>
      <c r="E2471" s="76">
        <f t="shared" si="15"/>
        <v>45015</v>
      </c>
    </row>
    <row r="2472" spans="2:5" ht="15" x14ac:dyDescent="0.2">
      <c r="B2472" s="7" t="s">
        <v>996</v>
      </c>
      <c r="C2472" s="7" t="s">
        <v>6</v>
      </c>
      <c r="D2472" s="80">
        <v>28000</v>
      </c>
      <c r="E2472" s="76">
        <f t="shared" si="15"/>
        <v>28015</v>
      </c>
    </row>
    <row r="2473" spans="2:5" ht="15" x14ac:dyDescent="0.2">
      <c r="B2473" s="7" t="s">
        <v>998</v>
      </c>
      <c r="C2473" s="7" t="s">
        <v>6</v>
      </c>
      <c r="D2473" s="80">
        <v>40000</v>
      </c>
      <c r="E2473" s="76">
        <f t="shared" si="15"/>
        <v>40015</v>
      </c>
    </row>
    <row r="2474" spans="2:5" ht="15" x14ac:dyDescent="0.2">
      <c r="B2474" s="7" t="s">
        <v>1000</v>
      </c>
      <c r="C2474" s="7" t="s">
        <v>6</v>
      </c>
      <c r="D2474" s="80">
        <v>25000</v>
      </c>
      <c r="E2474" s="76">
        <f t="shared" si="15"/>
        <v>25015</v>
      </c>
    </row>
    <row r="2475" spans="2:5" ht="15" x14ac:dyDescent="0.2">
      <c r="B2475" s="7" t="s">
        <v>1002</v>
      </c>
      <c r="C2475" s="7" t="s">
        <v>6</v>
      </c>
      <c r="D2475" s="80">
        <v>28000</v>
      </c>
      <c r="E2475" s="76">
        <f t="shared" si="15"/>
        <v>28015</v>
      </c>
    </row>
    <row r="2476" spans="2:5" ht="15" x14ac:dyDescent="0.2">
      <c r="B2476" s="7" t="s">
        <v>1004</v>
      </c>
      <c r="C2476" s="7" t="s">
        <v>3</v>
      </c>
      <c r="D2476" s="80">
        <v>19500</v>
      </c>
      <c r="E2476" s="76">
        <f t="shared" si="15"/>
        <v>19515</v>
      </c>
    </row>
    <row r="2477" spans="2:5" ht="15" x14ac:dyDescent="0.2">
      <c r="B2477" s="7" t="s">
        <v>1006</v>
      </c>
      <c r="C2477" s="7" t="s">
        <v>6</v>
      </c>
      <c r="D2477" s="80">
        <v>24000</v>
      </c>
      <c r="E2477" s="76">
        <f t="shared" si="15"/>
        <v>24015</v>
      </c>
    </row>
    <row r="2478" spans="2:5" ht="15" x14ac:dyDescent="0.2">
      <c r="B2478" s="7" t="s">
        <v>1008</v>
      </c>
      <c r="C2478" s="7" t="s">
        <v>12</v>
      </c>
      <c r="D2478" s="80">
        <v>30500</v>
      </c>
      <c r="E2478" s="76">
        <f t="shared" si="15"/>
        <v>30515</v>
      </c>
    </row>
    <row r="2479" spans="2:5" ht="15" x14ac:dyDescent="0.2">
      <c r="B2479" s="7" t="s">
        <v>1010</v>
      </c>
      <c r="C2479" s="7" t="s">
        <v>6</v>
      </c>
      <c r="D2479" s="80">
        <v>3500</v>
      </c>
      <c r="E2479" s="76">
        <f t="shared" si="15"/>
        <v>3515</v>
      </c>
    </row>
    <row r="2480" spans="2:5" ht="15" x14ac:dyDescent="0.2">
      <c r="B2480" s="7" t="s">
        <v>1012</v>
      </c>
      <c r="C2480" s="7" t="s">
        <v>6</v>
      </c>
      <c r="D2480" s="80">
        <v>3400</v>
      </c>
      <c r="E2480" s="76">
        <f t="shared" si="15"/>
        <v>3415</v>
      </c>
    </row>
    <row r="2481" spans="2:5" ht="15" x14ac:dyDescent="0.2">
      <c r="B2481" s="7" t="s">
        <v>1014</v>
      </c>
      <c r="C2481" s="7" t="s">
        <v>6</v>
      </c>
      <c r="D2481" s="80">
        <v>6000</v>
      </c>
      <c r="E2481" s="76">
        <f t="shared" si="15"/>
        <v>6015</v>
      </c>
    </row>
    <row r="2482" spans="2:5" ht="15" x14ac:dyDescent="0.2">
      <c r="B2482" s="7" t="s">
        <v>1016</v>
      </c>
      <c r="C2482" s="7" t="s">
        <v>37</v>
      </c>
      <c r="D2482" s="80">
        <v>39000</v>
      </c>
      <c r="E2482" s="76">
        <f t="shared" si="15"/>
        <v>39015</v>
      </c>
    </row>
    <row r="2483" spans="2:5" ht="15" x14ac:dyDescent="0.2">
      <c r="B2483" s="7" t="s">
        <v>1018</v>
      </c>
      <c r="C2483" s="7" t="s">
        <v>37</v>
      </c>
      <c r="D2483" s="80">
        <v>39000</v>
      </c>
      <c r="E2483" s="76">
        <f t="shared" si="15"/>
        <v>39015</v>
      </c>
    </row>
    <row r="2484" spans="2:5" ht="15" x14ac:dyDescent="0.2">
      <c r="B2484" s="7" t="s">
        <v>1020</v>
      </c>
      <c r="C2484" s="7" t="s">
        <v>3</v>
      </c>
      <c r="D2484" s="80">
        <v>38000</v>
      </c>
      <c r="E2484" s="76">
        <f t="shared" si="15"/>
        <v>38015</v>
      </c>
    </row>
    <row r="2485" spans="2:5" ht="15" x14ac:dyDescent="0.2">
      <c r="B2485" s="7" t="s">
        <v>1022</v>
      </c>
      <c r="C2485" s="7" t="s">
        <v>6</v>
      </c>
      <c r="D2485" s="80">
        <v>38800</v>
      </c>
      <c r="E2485" s="76">
        <f t="shared" si="15"/>
        <v>38815</v>
      </c>
    </row>
    <row r="2486" spans="2:5" ht="15" x14ac:dyDescent="0.2">
      <c r="B2486" s="7" t="s">
        <v>1024</v>
      </c>
      <c r="C2486" s="7" t="s">
        <v>6</v>
      </c>
      <c r="D2486" s="80">
        <v>3100</v>
      </c>
      <c r="E2486" s="76">
        <f t="shared" si="15"/>
        <v>3115</v>
      </c>
    </row>
    <row r="2487" spans="2:5" ht="15" x14ac:dyDescent="0.2">
      <c r="B2487" s="7" t="s">
        <v>1026</v>
      </c>
      <c r="C2487" s="7" t="s">
        <v>6</v>
      </c>
      <c r="D2487" s="80">
        <v>30500</v>
      </c>
      <c r="E2487" s="76">
        <f t="shared" si="15"/>
        <v>30515</v>
      </c>
    </row>
    <row r="2488" spans="2:5" ht="15" x14ac:dyDescent="0.2">
      <c r="B2488" s="7" t="s">
        <v>1036</v>
      </c>
      <c r="C2488" s="7" t="s">
        <v>37</v>
      </c>
      <c r="D2488" s="80">
        <v>53000</v>
      </c>
      <c r="E2488" s="76">
        <f t="shared" si="15"/>
        <v>53015</v>
      </c>
    </row>
    <row r="2489" spans="2:5" ht="15" x14ac:dyDescent="0.2">
      <c r="B2489" s="7" t="s">
        <v>1028</v>
      </c>
      <c r="C2489" s="7" t="s">
        <v>6</v>
      </c>
      <c r="D2489" s="80">
        <v>72000</v>
      </c>
      <c r="E2489" s="76">
        <f t="shared" si="15"/>
        <v>72015</v>
      </c>
    </row>
    <row r="2490" spans="2:5" ht="15" x14ac:dyDescent="0.2">
      <c r="B2490" s="7" t="s">
        <v>1030</v>
      </c>
      <c r="C2490" s="7" t="s">
        <v>37</v>
      </c>
      <c r="D2490" s="80">
        <v>58000</v>
      </c>
      <c r="E2490" s="76">
        <f t="shared" si="15"/>
        <v>58015</v>
      </c>
    </row>
    <row r="2491" spans="2:5" ht="15" x14ac:dyDescent="0.2">
      <c r="B2491" s="7" t="s">
        <v>1032</v>
      </c>
      <c r="C2491" s="7" t="s">
        <v>3</v>
      </c>
      <c r="D2491" s="80">
        <v>16000</v>
      </c>
      <c r="E2491" s="76">
        <f t="shared" si="15"/>
        <v>16015</v>
      </c>
    </row>
    <row r="2492" spans="2:5" ht="15" x14ac:dyDescent="0.2">
      <c r="B2492" s="7" t="s">
        <v>1034</v>
      </c>
      <c r="C2492" s="7" t="s">
        <v>3</v>
      </c>
      <c r="D2492" s="80">
        <v>13600</v>
      </c>
      <c r="E2492" s="76">
        <f t="shared" si="15"/>
        <v>13615</v>
      </c>
    </row>
    <row r="2493" spans="2:5" ht="15" x14ac:dyDescent="0.2">
      <c r="B2493" s="7" t="s">
        <v>1038</v>
      </c>
      <c r="C2493" s="7" t="s">
        <v>3</v>
      </c>
      <c r="D2493" s="80">
        <v>61500</v>
      </c>
      <c r="E2493" s="76">
        <f t="shared" si="15"/>
        <v>61515</v>
      </c>
    </row>
    <row r="2494" spans="2:5" ht="15" x14ac:dyDescent="0.2">
      <c r="B2494" s="7" t="s">
        <v>1040</v>
      </c>
      <c r="C2494" s="7" t="s">
        <v>37</v>
      </c>
      <c r="D2494" s="80">
        <v>45000</v>
      </c>
      <c r="E2494" s="76">
        <f t="shared" si="15"/>
        <v>45015</v>
      </c>
    </row>
    <row r="2495" spans="2:5" ht="15" x14ac:dyDescent="0.2">
      <c r="B2495" s="7" t="s">
        <v>1042</v>
      </c>
      <c r="C2495" s="7" t="s">
        <v>3</v>
      </c>
      <c r="D2495" s="80">
        <v>27000</v>
      </c>
      <c r="E2495" s="76">
        <f t="shared" si="15"/>
        <v>27015</v>
      </c>
    </row>
    <row r="2496" spans="2:5" ht="15" x14ac:dyDescent="0.2">
      <c r="B2496" s="7" t="s">
        <v>1044</v>
      </c>
      <c r="C2496" s="7" t="s">
        <v>3</v>
      </c>
      <c r="D2496" s="80">
        <v>9000</v>
      </c>
      <c r="E2496" s="76">
        <f t="shared" si="15"/>
        <v>9015</v>
      </c>
    </row>
    <row r="2497" spans="2:5" ht="15" x14ac:dyDescent="0.2">
      <c r="B2497" s="7" t="s">
        <v>1046</v>
      </c>
      <c r="C2497" s="7" t="s">
        <v>6</v>
      </c>
      <c r="D2497" s="80">
        <v>31000</v>
      </c>
      <c r="E2497" s="76">
        <f t="shared" si="15"/>
        <v>31015</v>
      </c>
    </row>
    <row r="2498" spans="2:5" ht="15" x14ac:dyDescent="0.2">
      <c r="B2498" s="7" t="s">
        <v>1048</v>
      </c>
      <c r="C2498" s="7" t="s">
        <v>3</v>
      </c>
      <c r="D2498" s="80">
        <v>35000</v>
      </c>
      <c r="E2498" s="76">
        <f t="shared" si="15"/>
        <v>35015</v>
      </c>
    </row>
    <row r="2499" spans="2:5" ht="15" x14ac:dyDescent="0.2">
      <c r="B2499" s="7" t="s">
        <v>1050</v>
      </c>
      <c r="C2499" s="7" t="s">
        <v>3</v>
      </c>
      <c r="D2499" s="80">
        <v>84000</v>
      </c>
      <c r="E2499" s="76">
        <f t="shared" si="15"/>
        <v>84015</v>
      </c>
    </row>
    <row r="2500" spans="2:5" ht="15" x14ac:dyDescent="0.2">
      <c r="B2500" s="7" t="s">
        <v>1052</v>
      </c>
      <c r="C2500" s="7" t="s">
        <v>3</v>
      </c>
      <c r="D2500" s="80">
        <v>50000</v>
      </c>
      <c r="E2500" s="76">
        <f t="shared" si="15"/>
        <v>50015</v>
      </c>
    </row>
    <row r="2501" spans="2:5" ht="15" x14ac:dyDescent="0.2">
      <c r="B2501" s="7" t="s">
        <v>1054</v>
      </c>
      <c r="C2501" s="7" t="s">
        <v>3</v>
      </c>
      <c r="D2501" s="80">
        <v>34000</v>
      </c>
      <c r="E2501" s="76">
        <f t="shared" si="15"/>
        <v>34015</v>
      </c>
    </row>
    <row r="2502" spans="2:5" ht="15" x14ac:dyDescent="0.2">
      <c r="B2502" s="7" t="s">
        <v>1056</v>
      </c>
      <c r="C2502" s="7" t="s">
        <v>3</v>
      </c>
      <c r="D2502" s="80">
        <v>63000</v>
      </c>
      <c r="E2502" s="76">
        <f t="shared" si="15"/>
        <v>63015</v>
      </c>
    </row>
    <row r="2503" spans="2:5" ht="15" x14ac:dyDescent="0.2">
      <c r="B2503" s="7" t="s">
        <v>1058</v>
      </c>
      <c r="C2503" s="7" t="s">
        <v>6</v>
      </c>
      <c r="D2503" s="80">
        <v>73400</v>
      </c>
      <c r="E2503" s="76">
        <f t="shared" si="15"/>
        <v>73415</v>
      </c>
    </row>
    <row r="2504" spans="2:5" ht="15" x14ac:dyDescent="0.2">
      <c r="B2504" s="7" t="s">
        <v>1060</v>
      </c>
      <c r="C2504" s="7" t="s">
        <v>323</v>
      </c>
      <c r="D2504" s="81">
        <v>32000</v>
      </c>
      <c r="E2504" s="76">
        <f t="shared" si="15"/>
        <v>32015</v>
      </c>
    </row>
    <row r="2505" spans="2:5" ht="15" x14ac:dyDescent="0.2">
      <c r="B2505" s="7" t="s">
        <v>959</v>
      </c>
      <c r="C2505" s="7" t="s">
        <v>6</v>
      </c>
      <c r="D2505" s="82">
        <v>105000</v>
      </c>
      <c r="E2505" s="76">
        <f t="shared" si="15"/>
        <v>105015</v>
      </c>
    </row>
    <row r="2506" spans="2:5" ht="15" x14ac:dyDescent="0.2">
      <c r="B2506" s="7" t="s">
        <v>961</v>
      </c>
      <c r="C2506" s="7" t="s">
        <v>6</v>
      </c>
      <c r="D2506" s="82">
        <v>9200</v>
      </c>
      <c r="E2506" s="76">
        <f t="shared" si="15"/>
        <v>9215</v>
      </c>
    </row>
    <row r="2507" spans="2:5" ht="15" x14ac:dyDescent="0.2">
      <c r="B2507" s="7" t="s">
        <v>963</v>
      </c>
      <c r="C2507" s="7" t="s">
        <v>6</v>
      </c>
      <c r="D2507" s="82">
        <v>7000</v>
      </c>
      <c r="E2507" s="76">
        <f t="shared" si="15"/>
        <v>7015</v>
      </c>
    </row>
    <row r="2508" spans="2:5" ht="15" x14ac:dyDescent="0.2">
      <c r="B2508" s="7" t="s">
        <v>965</v>
      </c>
      <c r="C2508" s="7" t="s">
        <v>6</v>
      </c>
      <c r="D2508" s="82">
        <v>13500</v>
      </c>
      <c r="E2508" s="76">
        <f t="shared" si="15"/>
        <v>13515</v>
      </c>
    </row>
    <row r="2509" spans="2:5" ht="15" x14ac:dyDescent="0.2">
      <c r="B2509" s="7" t="s">
        <v>967</v>
      </c>
      <c r="C2509" s="7" t="s">
        <v>3</v>
      </c>
      <c r="D2509" s="82">
        <v>3200</v>
      </c>
      <c r="E2509" s="76">
        <f t="shared" si="15"/>
        <v>3215</v>
      </c>
    </row>
    <row r="2510" spans="2:5" ht="15" x14ac:dyDescent="0.2">
      <c r="B2510" s="7" t="s">
        <v>969</v>
      </c>
      <c r="C2510" s="7" t="s">
        <v>3</v>
      </c>
      <c r="D2510" s="82">
        <v>11000</v>
      </c>
      <c r="E2510" s="76">
        <f t="shared" si="15"/>
        <v>11015</v>
      </c>
    </row>
    <row r="2511" spans="2:5" ht="15" x14ac:dyDescent="0.2">
      <c r="B2511" s="7" t="s">
        <v>971</v>
      </c>
      <c r="C2511" s="7" t="s">
        <v>3</v>
      </c>
      <c r="D2511" s="82">
        <v>72000</v>
      </c>
      <c r="E2511" s="76">
        <f t="shared" si="15"/>
        <v>72015</v>
      </c>
    </row>
    <row r="2512" spans="2:5" ht="15" x14ac:dyDescent="0.2">
      <c r="B2512" s="7" t="s">
        <v>973</v>
      </c>
      <c r="C2512" s="7" t="s">
        <v>3</v>
      </c>
      <c r="D2512" s="82">
        <v>76000</v>
      </c>
      <c r="E2512" s="76">
        <f t="shared" si="15"/>
        <v>76015</v>
      </c>
    </row>
    <row r="2513" spans="2:5" ht="15" x14ac:dyDescent="0.2">
      <c r="B2513" s="7" t="s">
        <v>975</v>
      </c>
      <c r="C2513" s="7" t="s">
        <v>6</v>
      </c>
      <c r="D2513" s="82">
        <v>25700</v>
      </c>
      <c r="E2513" s="76">
        <f t="shared" si="15"/>
        <v>25715</v>
      </c>
    </row>
    <row r="2514" spans="2:5" ht="15" x14ac:dyDescent="0.2">
      <c r="B2514" s="7" t="s">
        <v>977</v>
      </c>
      <c r="C2514" s="7" t="s">
        <v>123</v>
      </c>
      <c r="D2514" s="82">
        <v>75000</v>
      </c>
      <c r="E2514" s="76">
        <f t="shared" si="15"/>
        <v>75015</v>
      </c>
    </row>
    <row r="2515" spans="2:5" ht="15" x14ac:dyDescent="0.2">
      <c r="B2515" s="7" t="s">
        <v>979</v>
      </c>
      <c r="C2515" s="7" t="s">
        <v>3</v>
      </c>
      <c r="D2515" s="82">
        <v>20000</v>
      </c>
      <c r="E2515" s="76">
        <f t="shared" si="15"/>
        <v>20015</v>
      </c>
    </row>
    <row r="2516" spans="2:5" ht="15" x14ac:dyDescent="0.2">
      <c r="B2516" s="7" t="s">
        <v>981</v>
      </c>
      <c r="C2516" s="7" t="s">
        <v>6</v>
      </c>
      <c r="D2516" s="82">
        <v>34800</v>
      </c>
      <c r="E2516" s="76">
        <f t="shared" si="15"/>
        <v>34815</v>
      </c>
    </row>
    <row r="2517" spans="2:5" ht="15" x14ac:dyDescent="0.2">
      <c r="B2517" s="7"/>
      <c r="C2517" s="7"/>
      <c r="D2517" s="82"/>
      <c r="E2517" s="76"/>
    </row>
    <row r="2518" spans="2:5" ht="15" x14ac:dyDescent="0.2">
      <c r="B2518" s="7"/>
      <c r="C2518" s="7"/>
      <c r="D2518" s="82"/>
      <c r="E2518" s="76"/>
    </row>
    <row r="2519" spans="2:5" ht="15" x14ac:dyDescent="0.2">
      <c r="B2519" s="7"/>
      <c r="C2519" s="7"/>
      <c r="D2519" s="82"/>
      <c r="E2519" s="76"/>
    </row>
    <row r="2520" spans="2:5" ht="15" x14ac:dyDescent="0.2">
      <c r="B2520" s="7"/>
      <c r="C2520" s="7"/>
      <c r="D2520" s="82"/>
      <c r="E2520" s="76"/>
    </row>
    <row r="2521" spans="2:5" ht="15" x14ac:dyDescent="0.2">
      <c r="B2521" s="7"/>
      <c r="C2521" s="7"/>
      <c r="D2521" s="82"/>
      <c r="E2521" s="76"/>
    </row>
    <row r="2522" spans="2:5" ht="15" x14ac:dyDescent="0.2">
      <c r="B2522" s="7"/>
      <c r="C2522" s="7"/>
      <c r="D2522" s="82"/>
      <c r="E2522" s="76"/>
    </row>
    <row r="2523" spans="2:5" ht="15" x14ac:dyDescent="0.2">
      <c r="B2523" s="7"/>
      <c r="C2523" s="7"/>
      <c r="D2523" s="82"/>
      <c r="E2523" s="76"/>
    </row>
    <row r="2524" spans="2:5" ht="15" x14ac:dyDescent="0.2">
      <c r="B2524" s="7"/>
      <c r="C2524" s="7"/>
      <c r="D2524" s="82"/>
      <c r="E2524" s="76"/>
    </row>
    <row r="2525" spans="2:5" ht="15" x14ac:dyDescent="0.2">
      <c r="B2525" s="7"/>
      <c r="C2525" s="7"/>
      <c r="D2525" s="82"/>
      <c r="E2525" s="76"/>
    </row>
    <row r="2526" spans="2:5" ht="15" x14ac:dyDescent="0.2">
      <c r="B2526" s="7"/>
      <c r="C2526" s="7"/>
      <c r="D2526" s="82"/>
      <c r="E2526" s="76"/>
    </row>
    <row r="2527" spans="2:5" ht="15" x14ac:dyDescent="0.2">
      <c r="B2527" s="7"/>
      <c r="C2527" s="7"/>
      <c r="D2527" s="82"/>
      <c r="E2527" s="76"/>
    </row>
    <row r="2528" spans="2:5" ht="15" x14ac:dyDescent="0.2">
      <c r="B2528" s="7"/>
      <c r="C2528" s="7"/>
      <c r="D2528" s="82"/>
      <c r="E2528" s="76"/>
    </row>
    <row r="2529" spans="2:5" ht="15" x14ac:dyDescent="0.2">
      <c r="B2529" s="7"/>
      <c r="C2529" s="7"/>
      <c r="D2529" s="82"/>
      <c r="E2529" s="76"/>
    </row>
    <row r="2530" spans="2:5" ht="15" x14ac:dyDescent="0.2">
      <c r="B2530" s="7"/>
      <c r="C2530" s="7"/>
      <c r="D2530" s="82"/>
      <c r="E2530" s="76"/>
    </row>
    <row r="2531" spans="2:5" ht="15" x14ac:dyDescent="0.2">
      <c r="B2531" s="7"/>
      <c r="C2531" s="7"/>
      <c r="D2531" s="82"/>
      <c r="E2531" s="76"/>
    </row>
    <row r="2532" spans="2:5" ht="15" x14ac:dyDescent="0.2">
      <c r="B2532" s="7"/>
      <c r="C2532" s="7"/>
      <c r="D2532" s="82"/>
      <c r="E2532" s="76"/>
    </row>
    <row r="2533" spans="2:5" ht="15" x14ac:dyDescent="0.2">
      <c r="B2533" s="7"/>
      <c r="C2533" s="7"/>
      <c r="D2533" s="82"/>
      <c r="E2533" s="76"/>
    </row>
    <row r="2534" spans="2:5" ht="15" x14ac:dyDescent="0.2">
      <c r="B2534" s="7"/>
      <c r="C2534" s="7"/>
      <c r="D2534" s="82"/>
      <c r="E2534" s="76"/>
    </row>
    <row r="2535" spans="2:5" ht="15" x14ac:dyDescent="0.2">
      <c r="B2535" s="7"/>
      <c r="C2535" s="7"/>
      <c r="D2535" s="82"/>
      <c r="E2535" s="76"/>
    </row>
    <row r="2536" spans="2:5" ht="15" x14ac:dyDescent="0.2">
      <c r="B2536" s="7"/>
      <c r="C2536" s="7"/>
      <c r="D2536" s="82"/>
      <c r="E2536" s="76"/>
    </row>
    <row r="2537" spans="2:5" ht="15" x14ac:dyDescent="0.2">
      <c r="B2537" s="7"/>
      <c r="C2537" s="7"/>
      <c r="D2537" s="82"/>
      <c r="E2537" s="76"/>
    </row>
    <row r="2538" spans="2:5" ht="15" x14ac:dyDescent="0.2">
      <c r="B2538" s="7"/>
      <c r="C2538" s="7"/>
      <c r="D2538" s="82"/>
      <c r="E2538" s="76"/>
    </row>
    <row r="2539" spans="2:5" ht="15" x14ac:dyDescent="0.2">
      <c r="B2539" s="7"/>
      <c r="C2539" s="7"/>
      <c r="D2539" s="82"/>
      <c r="E2539" s="76"/>
    </row>
    <row r="2540" spans="2:5" ht="15" x14ac:dyDescent="0.2">
      <c r="B2540" s="7"/>
      <c r="C2540" s="7"/>
      <c r="D2540" s="82"/>
      <c r="E2540" s="76"/>
    </row>
    <row r="2541" spans="2:5" ht="15" x14ac:dyDescent="0.2">
      <c r="B2541" s="7"/>
      <c r="C2541" s="7"/>
      <c r="D2541" s="82"/>
      <c r="E2541" s="76"/>
    </row>
    <row r="2542" spans="2:5" ht="15" x14ac:dyDescent="0.2">
      <c r="B2542" s="7"/>
      <c r="C2542" s="7"/>
      <c r="D2542" s="82"/>
      <c r="E2542" s="76"/>
    </row>
    <row r="2543" spans="2:5" ht="15" x14ac:dyDescent="0.2">
      <c r="B2543" s="7"/>
      <c r="C2543" s="7"/>
      <c r="D2543" s="82"/>
      <c r="E2543" s="76"/>
    </row>
    <row r="2544" spans="2:5" ht="15" x14ac:dyDescent="0.2">
      <c r="B2544" s="7"/>
      <c r="C2544" s="7"/>
      <c r="D2544" s="82"/>
      <c r="E2544" s="76"/>
    </row>
    <row r="2545" spans="2:5" ht="15" x14ac:dyDescent="0.2">
      <c r="B2545" s="7"/>
      <c r="C2545" s="7"/>
      <c r="D2545" s="82"/>
      <c r="E2545" s="76"/>
    </row>
    <row r="2546" spans="2:5" ht="15" x14ac:dyDescent="0.2">
      <c r="B2546" s="7"/>
      <c r="C2546" s="7"/>
      <c r="D2546" s="82"/>
      <c r="E2546" s="76"/>
    </row>
    <row r="2547" spans="2:5" ht="15" x14ac:dyDescent="0.2">
      <c r="B2547" s="7"/>
      <c r="C2547" s="7"/>
      <c r="D2547" s="82"/>
      <c r="E2547" s="76"/>
    </row>
    <row r="2548" spans="2:5" ht="15" x14ac:dyDescent="0.2">
      <c r="B2548" s="7"/>
      <c r="C2548" s="7"/>
      <c r="D2548" s="82"/>
      <c r="E2548" s="76"/>
    </row>
    <row r="2549" spans="2:5" ht="15" x14ac:dyDescent="0.2">
      <c r="B2549" s="7"/>
      <c r="C2549" s="7"/>
      <c r="D2549" s="82"/>
      <c r="E2549" s="76"/>
    </row>
    <row r="2550" spans="2:5" ht="15" x14ac:dyDescent="0.2">
      <c r="B2550" s="7"/>
      <c r="C2550" s="7"/>
      <c r="D2550" s="82"/>
      <c r="E2550" s="76"/>
    </row>
    <row r="2551" spans="2:5" ht="15" x14ac:dyDescent="0.2">
      <c r="B2551" s="7"/>
      <c r="C2551" s="7"/>
      <c r="D2551" s="82"/>
      <c r="E2551" s="76"/>
    </row>
    <row r="2552" spans="2:5" ht="15" x14ac:dyDescent="0.2">
      <c r="B2552" s="7"/>
      <c r="C2552" s="7"/>
      <c r="D2552" s="82"/>
      <c r="E2552" s="76"/>
    </row>
    <row r="2553" spans="2:5" ht="15" x14ac:dyDescent="0.2">
      <c r="B2553" s="7"/>
      <c r="C2553" s="7"/>
      <c r="D2553" s="82"/>
      <c r="E2553" s="76"/>
    </row>
    <row r="2554" spans="2:5" ht="15" x14ac:dyDescent="0.2">
      <c r="B2554" s="7"/>
      <c r="C2554" s="7"/>
      <c r="D2554" s="82"/>
      <c r="E2554" s="76"/>
    </row>
    <row r="2555" spans="2:5" ht="15" x14ac:dyDescent="0.2">
      <c r="B2555" s="7"/>
      <c r="C2555" s="7"/>
      <c r="D2555" s="82"/>
      <c r="E2555" s="76"/>
    </row>
    <row r="2556" spans="2:5" ht="15" x14ac:dyDescent="0.2">
      <c r="B2556" s="7"/>
      <c r="C2556" s="7"/>
      <c r="D2556" s="82"/>
      <c r="E2556" s="76"/>
    </row>
    <row r="2557" spans="2:5" ht="15" x14ac:dyDescent="0.2">
      <c r="B2557" s="7"/>
      <c r="C2557" s="7"/>
      <c r="D2557" s="82"/>
      <c r="E2557" s="76"/>
    </row>
    <row r="2558" spans="2:5" ht="15" x14ac:dyDescent="0.2">
      <c r="B2558" s="7"/>
      <c r="C2558" s="7"/>
      <c r="D2558" s="82"/>
      <c r="E2558" s="76"/>
    </row>
    <row r="2559" spans="2:5" ht="15" x14ac:dyDescent="0.2">
      <c r="B2559" s="7"/>
      <c r="C2559" s="7"/>
      <c r="D2559" s="82"/>
      <c r="E2559" s="76"/>
    </row>
    <row r="2560" spans="2:5" ht="15" x14ac:dyDescent="0.2">
      <c r="B2560" s="7"/>
      <c r="C2560" s="7"/>
      <c r="D2560" s="82"/>
      <c r="E2560" s="76"/>
    </row>
    <row r="2561" spans="2:5" ht="15" x14ac:dyDescent="0.2">
      <c r="B2561" s="7"/>
      <c r="C2561" s="7"/>
      <c r="D2561" s="82"/>
      <c r="E2561" s="76"/>
    </row>
    <row r="2562" spans="2:5" ht="15" x14ac:dyDescent="0.2">
      <c r="B2562" s="7"/>
      <c r="C2562" s="7"/>
      <c r="D2562" s="82"/>
      <c r="E2562" s="76"/>
    </row>
    <row r="2563" spans="2:5" ht="15" x14ac:dyDescent="0.2">
      <c r="B2563" s="7"/>
      <c r="C2563" s="7"/>
      <c r="D2563" s="82"/>
      <c r="E2563" s="76"/>
    </row>
    <row r="2564" spans="2:5" ht="15" x14ac:dyDescent="0.2">
      <c r="B2564" s="7"/>
      <c r="C2564" s="7"/>
      <c r="D2564" s="82"/>
      <c r="E2564" s="76"/>
    </row>
    <row r="2565" spans="2:5" ht="15" x14ac:dyDescent="0.2">
      <c r="B2565" s="7"/>
      <c r="C2565" s="7"/>
      <c r="D2565" s="82"/>
      <c r="E2565" s="76"/>
    </row>
    <row r="2566" spans="2:5" ht="15" x14ac:dyDescent="0.2">
      <c r="B2566" s="7"/>
      <c r="C2566" s="7"/>
      <c r="D2566" s="82"/>
      <c r="E2566" s="76"/>
    </row>
    <row r="2567" spans="2:5" ht="15" x14ac:dyDescent="0.2">
      <c r="B2567" s="7"/>
      <c r="C2567" s="7"/>
      <c r="D2567" s="82"/>
      <c r="E2567" s="76"/>
    </row>
    <row r="2568" spans="2:5" ht="15" x14ac:dyDescent="0.2">
      <c r="B2568" s="7"/>
      <c r="C2568" s="7"/>
      <c r="D2568" s="82"/>
      <c r="E2568" s="76"/>
    </row>
    <row r="2569" spans="2:5" ht="15" x14ac:dyDescent="0.2">
      <c r="B2569" s="7"/>
      <c r="C2569" s="7"/>
      <c r="D2569" s="82"/>
      <c r="E2569" s="76"/>
    </row>
    <row r="2570" spans="2:5" ht="15" x14ac:dyDescent="0.2">
      <c r="B2570" s="7"/>
      <c r="C2570" s="7"/>
      <c r="D2570" s="82"/>
      <c r="E2570" s="76"/>
    </row>
    <row r="2571" spans="2:5" ht="15" x14ac:dyDescent="0.2">
      <c r="B2571" s="7"/>
      <c r="C2571" s="7"/>
      <c r="D2571" s="82"/>
      <c r="E2571" s="76"/>
    </row>
    <row r="2572" spans="2:5" ht="15" x14ac:dyDescent="0.2">
      <c r="B2572" s="7"/>
      <c r="C2572" s="7"/>
      <c r="D2572" s="82"/>
      <c r="E2572" s="76"/>
    </row>
    <row r="2573" spans="2:5" ht="15" x14ac:dyDescent="0.2">
      <c r="B2573" s="7"/>
      <c r="C2573" s="7"/>
      <c r="D2573" s="82"/>
      <c r="E2573" s="76"/>
    </row>
    <row r="2574" spans="2:5" ht="15" x14ac:dyDescent="0.2">
      <c r="B2574" s="7"/>
      <c r="C2574" s="7"/>
      <c r="D2574" s="82"/>
      <c r="E2574" s="76"/>
    </row>
    <row r="2575" spans="2:5" ht="15" x14ac:dyDescent="0.2">
      <c r="B2575" s="7"/>
      <c r="C2575" s="7"/>
      <c r="D2575" s="82"/>
      <c r="E2575" s="76"/>
    </row>
    <row r="2576" spans="2:5" ht="15" x14ac:dyDescent="0.2">
      <c r="B2576" s="7"/>
      <c r="C2576" s="7"/>
      <c r="D2576" s="82"/>
      <c r="E2576" s="76"/>
    </row>
    <row r="2577" spans="2:5" ht="15" x14ac:dyDescent="0.2">
      <c r="B2577" s="7"/>
      <c r="C2577" s="7"/>
      <c r="D2577" s="82"/>
      <c r="E2577" s="76"/>
    </row>
    <row r="2578" spans="2:5" ht="15" x14ac:dyDescent="0.2">
      <c r="B2578" s="7"/>
      <c r="C2578" s="7"/>
      <c r="D2578" s="82"/>
      <c r="E2578" s="76"/>
    </row>
    <row r="2579" spans="2:5" ht="15" x14ac:dyDescent="0.2">
      <c r="B2579" s="7"/>
      <c r="C2579" s="7"/>
      <c r="D2579" s="82"/>
      <c r="E2579" s="76"/>
    </row>
    <row r="2580" spans="2:5" ht="15" x14ac:dyDescent="0.2">
      <c r="B2580" s="7"/>
      <c r="C2580" s="7"/>
      <c r="D2580" s="82"/>
      <c r="E2580" s="76"/>
    </row>
    <row r="2581" spans="2:5" ht="15" x14ac:dyDescent="0.2">
      <c r="B2581" s="7"/>
      <c r="C2581" s="7"/>
      <c r="D2581" s="82"/>
      <c r="E2581" s="76"/>
    </row>
    <row r="2582" spans="2:5" ht="15" x14ac:dyDescent="0.2">
      <c r="B2582" s="7"/>
      <c r="C2582" s="7"/>
      <c r="D2582" s="82"/>
      <c r="E2582" s="76"/>
    </row>
    <row r="2583" spans="2:5" ht="15" x14ac:dyDescent="0.2">
      <c r="B2583" s="7"/>
      <c r="C2583" s="7"/>
      <c r="D2583" s="82"/>
      <c r="E2583" s="76"/>
    </row>
    <row r="2584" spans="2:5" ht="15" x14ac:dyDescent="0.2">
      <c r="B2584" s="7"/>
      <c r="C2584" s="7"/>
      <c r="D2584" s="82"/>
      <c r="E2584" s="76"/>
    </row>
    <row r="2585" spans="2:5" ht="15" x14ac:dyDescent="0.2">
      <c r="B2585" s="7"/>
      <c r="C2585" s="7"/>
      <c r="D2585" s="82"/>
      <c r="E2585" s="76"/>
    </row>
    <row r="2586" spans="2:5" ht="15" x14ac:dyDescent="0.2">
      <c r="B2586" s="7"/>
      <c r="C2586" s="7"/>
      <c r="D2586" s="82"/>
      <c r="E2586" s="76"/>
    </row>
    <row r="2587" spans="2:5" ht="15" x14ac:dyDescent="0.2">
      <c r="B2587" s="7"/>
      <c r="C2587" s="7"/>
      <c r="D2587" s="82"/>
      <c r="E2587" s="76"/>
    </row>
    <row r="2588" spans="2:5" ht="15" x14ac:dyDescent="0.2">
      <c r="B2588" s="7"/>
      <c r="C2588" s="7"/>
      <c r="D2588" s="82"/>
      <c r="E2588" s="76"/>
    </row>
    <row r="2589" spans="2:5" ht="15" x14ac:dyDescent="0.2">
      <c r="B2589" s="7"/>
      <c r="C2589" s="7"/>
      <c r="D2589" s="82"/>
      <c r="E2589" s="76"/>
    </row>
    <row r="2590" spans="2:5" ht="15" x14ac:dyDescent="0.2">
      <c r="B2590" s="7"/>
      <c r="C2590" s="7"/>
      <c r="D2590" s="82"/>
      <c r="E2590" s="76"/>
    </row>
    <row r="2591" spans="2:5" ht="15" x14ac:dyDescent="0.2">
      <c r="B2591" s="7"/>
      <c r="C2591" s="7"/>
      <c r="D2591" s="82"/>
      <c r="E2591" s="76"/>
    </row>
    <row r="2592" spans="2:5" ht="15" x14ac:dyDescent="0.2">
      <c r="B2592" s="7"/>
      <c r="C2592" s="7"/>
      <c r="D2592" s="82"/>
      <c r="E2592" s="76"/>
    </row>
    <row r="2593" spans="2:5" ht="15" x14ac:dyDescent="0.2">
      <c r="B2593" s="7"/>
      <c r="C2593" s="7"/>
      <c r="D2593" s="82"/>
      <c r="E2593" s="76"/>
    </row>
    <row r="2594" spans="2:5" ht="15" x14ac:dyDescent="0.2">
      <c r="B2594" s="7"/>
      <c r="C2594" s="7"/>
      <c r="D2594" s="82"/>
      <c r="E2594" s="76"/>
    </row>
    <row r="2595" spans="2:5" ht="15" x14ac:dyDescent="0.2">
      <c r="B2595" s="7"/>
      <c r="C2595" s="7"/>
      <c r="D2595" s="82"/>
      <c r="E2595" s="76"/>
    </row>
    <row r="2596" spans="2:5" ht="15" x14ac:dyDescent="0.2">
      <c r="B2596" s="7"/>
      <c r="C2596" s="7"/>
      <c r="D2596" s="82"/>
      <c r="E2596" s="76"/>
    </row>
    <row r="2597" spans="2:5" ht="15" x14ac:dyDescent="0.2">
      <c r="B2597" s="7"/>
      <c r="C2597" s="7"/>
      <c r="D2597" s="82"/>
      <c r="E2597" s="76"/>
    </row>
    <row r="2598" spans="2:5" ht="15" x14ac:dyDescent="0.2">
      <c r="B2598" s="7"/>
      <c r="C2598" s="7"/>
      <c r="D2598" s="82"/>
      <c r="E2598" s="76"/>
    </row>
    <row r="2599" spans="2:5" ht="15" x14ac:dyDescent="0.2">
      <c r="B2599" s="7"/>
      <c r="C2599" s="7"/>
      <c r="D2599" s="82"/>
      <c r="E2599" s="76"/>
    </row>
    <row r="2600" spans="2:5" ht="15" x14ac:dyDescent="0.2">
      <c r="B2600" s="7"/>
      <c r="C2600" s="7"/>
      <c r="D2600" s="82"/>
      <c r="E2600" s="76"/>
    </row>
    <row r="2601" spans="2:5" ht="15" x14ac:dyDescent="0.2">
      <c r="B2601" s="7"/>
      <c r="C2601" s="7"/>
      <c r="D2601" s="82"/>
      <c r="E2601" s="76"/>
    </row>
    <row r="2602" spans="2:5" ht="15" x14ac:dyDescent="0.2">
      <c r="B2602" s="7"/>
      <c r="C2602" s="7"/>
      <c r="D2602" s="82"/>
      <c r="E2602" s="76"/>
    </row>
    <row r="2603" spans="2:5" ht="15" x14ac:dyDescent="0.2">
      <c r="B2603" s="7"/>
      <c r="C2603" s="7"/>
      <c r="D2603" s="82"/>
      <c r="E2603" s="76"/>
    </row>
    <row r="2604" spans="2:5" ht="15" x14ac:dyDescent="0.2">
      <c r="B2604" s="7"/>
      <c r="C2604" s="7"/>
      <c r="D2604" s="82"/>
      <c r="E2604" s="76"/>
    </row>
    <row r="2605" spans="2:5" ht="15" x14ac:dyDescent="0.2">
      <c r="B2605" s="7"/>
      <c r="C2605" s="7"/>
      <c r="D2605" s="82"/>
      <c r="E2605" s="76"/>
    </row>
    <row r="2606" spans="2:5" ht="15" x14ac:dyDescent="0.2">
      <c r="B2606" s="7"/>
      <c r="C2606" s="7"/>
      <c r="D2606" s="82"/>
      <c r="E2606" s="76"/>
    </row>
    <row r="2607" spans="2:5" ht="15" x14ac:dyDescent="0.2">
      <c r="B2607" s="7"/>
      <c r="C2607" s="7"/>
      <c r="D2607" s="82"/>
      <c r="E2607" s="76"/>
    </row>
    <row r="2608" spans="2:5" ht="15" x14ac:dyDescent="0.2">
      <c r="B2608" s="7"/>
      <c r="C2608" s="7"/>
      <c r="D2608" s="82"/>
      <c r="E2608" s="76"/>
    </row>
    <row r="2609" spans="1:5" ht="15" x14ac:dyDescent="0.2">
      <c r="B2609" s="7"/>
      <c r="C2609" s="7"/>
      <c r="D2609" s="82"/>
      <c r="E2609" s="76"/>
    </row>
    <row r="2610" spans="1:5" ht="15" x14ac:dyDescent="0.2">
      <c r="B2610" s="7"/>
      <c r="C2610" s="7"/>
      <c r="D2610" s="82"/>
      <c r="E2610" s="76"/>
    </row>
    <row r="2611" spans="1:5" ht="15" x14ac:dyDescent="0.2">
      <c r="B2611" s="7"/>
      <c r="C2611" s="7"/>
      <c r="D2611" s="82"/>
      <c r="E2611" s="76"/>
    </row>
    <row r="2612" spans="1:5" ht="15" x14ac:dyDescent="0.2">
      <c r="B2612" s="7"/>
      <c r="C2612" s="7"/>
      <c r="D2612" s="82"/>
      <c r="E2612" s="76"/>
    </row>
    <row r="2613" spans="1:5" ht="15" x14ac:dyDescent="0.2">
      <c r="B2613" s="7"/>
      <c r="C2613" s="7"/>
      <c r="D2613" s="82"/>
      <c r="E2613" s="76"/>
    </row>
    <row r="2614" spans="1:5" ht="15" x14ac:dyDescent="0.2">
      <c r="B2614" s="7"/>
      <c r="C2614" s="7"/>
      <c r="D2614" s="82"/>
      <c r="E2614" s="76"/>
    </row>
    <row r="2615" spans="1:5" ht="15" x14ac:dyDescent="0.2">
      <c r="B2615" s="7"/>
      <c r="C2615" s="7"/>
      <c r="D2615" s="82"/>
      <c r="E2615" s="76"/>
    </row>
    <row r="2616" spans="1:5" ht="15" x14ac:dyDescent="0.2">
      <c r="B2616" s="7"/>
      <c r="C2616" s="7"/>
      <c r="D2616" s="82"/>
      <c r="E2616" s="76"/>
    </row>
    <row r="2617" spans="1:5" ht="15" x14ac:dyDescent="0.2">
      <c r="B2617" s="7"/>
      <c r="C2617" s="7"/>
      <c r="D2617" s="82"/>
      <c r="E2617" s="76"/>
    </row>
    <row r="2618" spans="1:5" ht="15" x14ac:dyDescent="0.2">
      <c r="A2618" s="53" t="s">
        <v>2442</v>
      </c>
      <c r="B2618" s="7" t="s">
        <v>983</v>
      </c>
      <c r="C2618" s="7" t="s">
        <v>6</v>
      </c>
      <c r="D2618" s="82">
        <v>31000</v>
      </c>
      <c r="E2618" s="76">
        <f t="shared" si="15"/>
        <v>31015</v>
      </c>
    </row>
    <row r="2619" spans="1:5" ht="15" x14ac:dyDescent="0.2">
      <c r="B2619" s="7" t="s">
        <v>985</v>
      </c>
      <c r="C2619" s="7" t="s">
        <v>6</v>
      </c>
      <c r="D2619" s="82">
        <v>114000</v>
      </c>
      <c r="E2619" s="76">
        <f t="shared" si="15"/>
        <v>114015</v>
      </c>
    </row>
    <row r="2620" spans="1:5" ht="15" x14ac:dyDescent="0.2">
      <c r="B2620" s="7" t="s">
        <v>987</v>
      </c>
      <c r="C2620" s="7" t="s">
        <v>6</v>
      </c>
      <c r="D2620" s="82">
        <v>124000</v>
      </c>
      <c r="E2620" s="76">
        <f t="shared" si="15"/>
        <v>124015</v>
      </c>
    </row>
    <row r="2621" spans="1:5" ht="15" x14ac:dyDescent="0.2">
      <c r="B2621" s="7" t="s">
        <v>989</v>
      </c>
      <c r="C2621" s="7" t="s">
        <v>37</v>
      </c>
      <c r="D2621" s="82">
        <v>50500</v>
      </c>
      <c r="E2621" s="76">
        <f t="shared" si="15"/>
        <v>50515</v>
      </c>
    </row>
    <row r="2622" spans="1:5" ht="15" x14ac:dyDescent="0.2">
      <c r="B2622" s="7" t="s">
        <v>991</v>
      </c>
      <c r="C2622" s="7" t="s">
        <v>6</v>
      </c>
      <c r="D2622" s="82">
        <v>213000</v>
      </c>
      <c r="E2622" s="76">
        <f t="shared" si="15"/>
        <v>213015</v>
      </c>
    </row>
    <row r="2623" spans="1:5" ht="15" x14ac:dyDescent="0.2">
      <c r="B2623" s="7" t="s">
        <v>993</v>
      </c>
      <c r="C2623" s="7" t="s">
        <v>37</v>
      </c>
      <c r="D2623" s="82">
        <v>16000</v>
      </c>
      <c r="E2623" s="76">
        <f t="shared" si="15"/>
        <v>16015</v>
      </c>
    </row>
    <row r="2624" spans="1:5" ht="15" x14ac:dyDescent="0.2">
      <c r="B2624" s="7" t="s">
        <v>995</v>
      </c>
      <c r="C2624" s="7" t="s">
        <v>101</v>
      </c>
      <c r="D2624" s="82">
        <v>3771</v>
      </c>
      <c r="E2624" s="76">
        <f t="shared" si="15"/>
        <v>3786</v>
      </c>
    </row>
    <row r="2625" spans="2:5" ht="15" x14ac:dyDescent="0.2">
      <c r="B2625" s="7" t="s">
        <v>997</v>
      </c>
      <c r="C2625" s="7" t="s">
        <v>6</v>
      </c>
      <c r="D2625" s="82">
        <v>260000</v>
      </c>
      <c r="E2625" s="76">
        <f t="shared" si="15"/>
        <v>260015</v>
      </c>
    </row>
    <row r="2626" spans="2:5" ht="15" x14ac:dyDescent="0.2">
      <c r="B2626" s="7" t="s">
        <v>999</v>
      </c>
      <c r="C2626" s="7" t="s">
        <v>6</v>
      </c>
      <c r="D2626" s="82">
        <v>252000</v>
      </c>
      <c r="E2626" s="76">
        <f t="shared" si="15"/>
        <v>252015</v>
      </c>
    </row>
    <row r="2627" spans="2:5" ht="15" x14ac:dyDescent="0.2">
      <c r="B2627" s="7" t="s">
        <v>1001</v>
      </c>
      <c r="C2627" s="7" t="s">
        <v>6</v>
      </c>
      <c r="D2627" s="82">
        <v>92000</v>
      </c>
      <c r="E2627" s="76">
        <f t="shared" si="15"/>
        <v>92015</v>
      </c>
    </row>
    <row r="2628" spans="2:5" ht="15" x14ac:dyDescent="0.2">
      <c r="B2628" s="7" t="s">
        <v>1003</v>
      </c>
      <c r="C2628" s="7" t="s">
        <v>6</v>
      </c>
      <c r="D2628" s="82">
        <v>13400</v>
      </c>
      <c r="E2628" s="76">
        <f t="shared" ref="E2628:E2758" si="16">D2628+15</f>
        <v>13415</v>
      </c>
    </row>
    <row r="2629" spans="2:5" ht="15" x14ac:dyDescent="0.2">
      <c r="B2629" s="7" t="s">
        <v>1005</v>
      </c>
      <c r="C2629" s="7" t="s">
        <v>6</v>
      </c>
      <c r="D2629" s="82">
        <v>63000</v>
      </c>
      <c r="E2629" s="76">
        <f t="shared" si="16"/>
        <v>63015</v>
      </c>
    </row>
    <row r="2630" spans="2:5" ht="15" x14ac:dyDescent="0.2">
      <c r="B2630" s="7" t="s">
        <v>1007</v>
      </c>
      <c r="C2630" s="7" t="s">
        <v>6</v>
      </c>
      <c r="D2630" s="82">
        <v>32000</v>
      </c>
      <c r="E2630" s="76">
        <f t="shared" si="16"/>
        <v>32015</v>
      </c>
    </row>
    <row r="2631" spans="2:5" ht="15" x14ac:dyDescent="0.2">
      <c r="B2631" s="7" t="s">
        <v>1009</v>
      </c>
      <c r="C2631" s="7" t="s">
        <v>6</v>
      </c>
      <c r="D2631" s="82">
        <v>35000</v>
      </c>
      <c r="E2631" s="76">
        <f t="shared" si="16"/>
        <v>35015</v>
      </c>
    </row>
    <row r="2632" spans="2:5" ht="15" x14ac:dyDescent="0.2">
      <c r="B2632" s="7" t="s">
        <v>1011</v>
      </c>
      <c r="C2632" s="7" t="s">
        <v>6</v>
      </c>
      <c r="D2632" s="82">
        <v>39000</v>
      </c>
      <c r="E2632" s="76">
        <f t="shared" si="16"/>
        <v>39015</v>
      </c>
    </row>
    <row r="2633" spans="2:5" ht="15" x14ac:dyDescent="0.2">
      <c r="B2633" s="7" t="s">
        <v>1013</v>
      </c>
      <c r="C2633" s="7" t="s">
        <v>6</v>
      </c>
      <c r="D2633" s="82">
        <v>58000</v>
      </c>
      <c r="E2633" s="76">
        <f t="shared" si="16"/>
        <v>58015</v>
      </c>
    </row>
    <row r="2634" spans="2:5" ht="15" x14ac:dyDescent="0.2">
      <c r="B2634" s="7" t="s">
        <v>1015</v>
      </c>
      <c r="C2634" s="7" t="s">
        <v>6</v>
      </c>
      <c r="D2634" s="82">
        <v>13500</v>
      </c>
      <c r="E2634" s="76">
        <f t="shared" si="16"/>
        <v>13515</v>
      </c>
    </row>
    <row r="2635" spans="2:5" ht="15" x14ac:dyDescent="0.2">
      <c r="B2635" s="7" t="s">
        <v>1017</v>
      </c>
      <c r="C2635" s="7" t="s">
        <v>6</v>
      </c>
      <c r="D2635" s="82">
        <v>22500</v>
      </c>
      <c r="E2635" s="76">
        <f t="shared" si="16"/>
        <v>22515</v>
      </c>
    </row>
    <row r="2636" spans="2:5" ht="15" x14ac:dyDescent="0.2">
      <c r="B2636" s="7"/>
      <c r="C2636" s="7"/>
      <c r="D2636" s="82"/>
      <c r="E2636" s="76"/>
    </row>
    <row r="2637" spans="2:5" ht="15" x14ac:dyDescent="0.2">
      <c r="B2637" s="7"/>
      <c r="C2637" s="7"/>
      <c r="D2637" s="82"/>
      <c r="E2637" s="76"/>
    </row>
    <row r="2638" spans="2:5" ht="15" x14ac:dyDescent="0.2">
      <c r="B2638" s="7"/>
      <c r="C2638" s="7"/>
      <c r="D2638" s="82"/>
      <c r="E2638" s="76"/>
    </row>
    <row r="2639" spans="2:5" ht="15" x14ac:dyDescent="0.2">
      <c r="B2639" s="7"/>
      <c r="C2639" s="7"/>
      <c r="D2639" s="82"/>
      <c r="E2639" s="76"/>
    </row>
    <row r="2640" spans="2:5" ht="15" x14ac:dyDescent="0.2">
      <c r="B2640" s="7"/>
      <c r="C2640" s="7"/>
      <c r="D2640" s="82"/>
      <c r="E2640" s="76"/>
    </row>
    <row r="2641" spans="2:5" ht="15" x14ac:dyDescent="0.2">
      <c r="B2641" s="7"/>
      <c r="C2641" s="7"/>
      <c r="D2641" s="82"/>
      <c r="E2641" s="76"/>
    </row>
    <row r="2642" spans="2:5" ht="15" x14ac:dyDescent="0.2">
      <c r="B2642" s="7"/>
      <c r="C2642" s="7"/>
      <c r="D2642" s="82"/>
      <c r="E2642" s="76"/>
    </row>
    <row r="2643" spans="2:5" ht="15" x14ac:dyDescent="0.2">
      <c r="B2643" s="7"/>
      <c r="C2643" s="7"/>
      <c r="D2643" s="82"/>
      <c r="E2643" s="76"/>
    </row>
    <row r="2644" spans="2:5" ht="15" x14ac:dyDescent="0.2">
      <c r="B2644" s="7"/>
      <c r="C2644" s="7"/>
      <c r="D2644" s="82"/>
      <c r="E2644" s="76"/>
    </row>
    <row r="2645" spans="2:5" ht="15" x14ac:dyDescent="0.2">
      <c r="B2645" s="7"/>
      <c r="C2645" s="7"/>
      <c r="D2645" s="82"/>
      <c r="E2645" s="76"/>
    </row>
    <row r="2646" spans="2:5" ht="15" x14ac:dyDescent="0.2">
      <c r="B2646" s="7"/>
      <c r="C2646" s="7"/>
      <c r="D2646" s="82"/>
      <c r="E2646" s="76"/>
    </row>
    <row r="2647" spans="2:5" ht="15" x14ac:dyDescent="0.2">
      <c r="B2647" s="7"/>
      <c r="C2647" s="7"/>
      <c r="D2647" s="82"/>
      <c r="E2647" s="76"/>
    </row>
    <row r="2648" spans="2:5" ht="15" x14ac:dyDescent="0.2">
      <c r="B2648" s="7"/>
      <c r="C2648" s="7"/>
      <c r="D2648" s="82"/>
      <c r="E2648" s="76"/>
    </row>
    <row r="2649" spans="2:5" ht="15" x14ac:dyDescent="0.2">
      <c r="B2649" s="7"/>
      <c r="C2649" s="7"/>
      <c r="D2649" s="82"/>
      <c r="E2649" s="76"/>
    </row>
    <row r="2650" spans="2:5" ht="15" x14ac:dyDescent="0.2">
      <c r="B2650" s="7"/>
      <c r="C2650" s="7"/>
      <c r="D2650" s="82"/>
      <c r="E2650" s="76"/>
    </row>
    <row r="2651" spans="2:5" ht="15" x14ac:dyDescent="0.2">
      <c r="B2651" s="7"/>
      <c r="C2651" s="7"/>
      <c r="D2651" s="82"/>
      <c r="E2651" s="76"/>
    </row>
    <row r="2652" spans="2:5" ht="15" x14ac:dyDescent="0.2">
      <c r="B2652" s="7"/>
      <c r="C2652" s="7"/>
      <c r="D2652" s="82"/>
      <c r="E2652" s="76"/>
    </row>
    <row r="2653" spans="2:5" ht="15" x14ac:dyDescent="0.2">
      <c r="B2653" s="7"/>
      <c r="C2653" s="7"/>
      <c r="D2653" s="82"/>
      <c r="E2653" s="76"/>
    </row>
    <row r="2654" spans="2:5" ht="15" x14ac:dyDescent="0.2">
      <c r="B2654" s="7"/>
      <c r="C2654" s="7"/>
      <c r="D2654" s="82"/>
      <c r="E2654" s="76"/>
    </row>
    <row r="2655" spans="2:5" ht="15" x14ac:dyDescent="0.2">
      <c r="B2655" s="7"/>
      <c r="C2655" s="7"/>
      <c r="D2655" s="82"/>
      <c r="E2655" s="76"/>
    </row>
    <row r="2656" spans="2:5" ht="15" x14ac:dyDescent="0.2">
      <c r="B2656" s="7"/>
      <c r="C2656" s="7"/>
      <c r="D2656" s="82"/>
      <c r="E2656" s="76"/>
    </row>
    <row r="2657" spans="2:5" ht="15" x14ac:dyDescent="0.2">
      <c r="B2657" s="7"/>
      <c r="C2657" s="7"/>
      <c r="D2657" s="82"/>
      <c r="E2657" s="76"/>
    </row>
    <row r="2658" spans="2:5" ht="15" x14ac:dyDescent="0.2">
      <c r="B2658" s="7"/>
      <c r="C2658" s="7"/>
      <c r="D2658" s="82"/>
      <c r="E2658" s="76"/>
    </row>
    <row r="2659" spans="2:5" ht="15" x14ac:dyDescent="0.2">
      <c r="B2659" s="7"/>
      <c r="C2659" s="7"/>
      <c r="D2659" s="82"/>
      <c r="E2659" s="76"/>
    </row>
    <row r="2660" spans="2:5" ht="15" x14ac:dyDescent="0.2">
      <c r="B2660" s="7"/>
      <c r="C2660" s="7"/>
      <c r="D2660" s="82"/>
      <c r="E2660" s="76"/>
    </row>
    <row r="2661" spans="2:5" ht="15" x14ac:dyDescent="0.2">
      <c r="B2661" s="7"/>
      <c r="C2661" s="7"/>
      <c r="D2661" s="82"/>
      <c r="E2661" s="76"/>
    </row>
    <row r="2662" spans="2:5" ht="15" x14ac:dyDescent="0.2">
      <c r="B2662" s="7"/>
      <c r="C2662" s="7"/>
      <c r="D2662" s="82"/>
      <c r="E2662" s="76"/>
    </row>
    <row r="2663" spans="2:5" ht="15" x14ac:dyDescent="0.2">
      <c r="B2663" s="7"/>
      <c r="C2663" s="7"/>
      <c r="D2663" s="82"/>
      <c r="E2663" s="76"/>
    </row>
    <row r="2664" spans="2:5" ht="15" x14ac:dyDescent="0.2">
      <c r="B2664" s="7"/>
      <c r="C2664" s="7"/>
      <c r="D2664" s="82"/>
      <c r="E2664" s="76"/>
    </row>
    <row r="2665" spans="2:5" ht="15" x14ac:dyDescent="0.2">
      <c r="B2665" s="7"/>
      <c r="C2665" s="7"/>
      <c r="D2665" s="82"/>
      <c r="E2665" s="76"/>
    </row>
    <row r="2666" spans="2:5" ht="15" x14ac:dyDescent="0.2">
      <c r="B2666" s="7"/>
      <c r="C2666" s="7"/>
      <c r="D2666" s="82"/>
      <c r="E2666" s="76"/>
    </row>
    <row r="2667" spans="2:5" ht="15" x14ac:dyDescent="0.2">
      <c r="B2667" s="7"/>
      <c r="C2667" s="7"/>
      <c r="D2667" s="82"/>
      <c r="E2667" s="76"/>
    </row>
    <row r="2668" spans="2:5" ht="15" x14ac:dyDescent="0.2">
      <c r="B2668" s="7"/>
      <c r="C2668" s="7"/>
      <c r="D2668" s="82"/>
      <c r="E2668" s="76"/>
    </row>
    <row r="2669" spans="2:5" ht="15" x14ac:dyDescent="0.2">
      <c r="B2669" s="7"/>
      <c r="C2669" s="7"/>
      <c r="D2669" s="82"/>
      <c r="E2669" s="76"/>
    </row>
    <row r="2670" spans="2:5" ht="15" x14ac:dyDescent="0.2">
      <c r="B2670" s="7"/>
      <c r="C2670" s="7"/>
      <c r="D2670" s="82"/>
      <c r="E2670" s="76"/>
    </row>
    <row r="2671" spans="2:5" ht="15" x14ac:dyDescent="0.2">
      <c r="B2671" s="7"/>
      <c r="C2671" s="7"/>
      <c r="D2671" s="82"/>
      <c r="E2671" s="76"/>
    </row>
    <row r="2672" spans="2:5" ht="15" x14ac:dyDescent="0.2">
      <c r="B2672" s="7"/>
      <c r="C2672" s="7"/>
      <c r="D2672" s="82"/>
      <c r="E2672" s="76"/>
    </row>
    <row r="2673" spans="2:5" ht="15" x14ac:dyDescent="0.2">
      <c r="B2673" s="7"/>
      <c r="C2673" s="7"/>
      <c r="D2673" s="82"/>
      <c r="E2673" s="76"/>
    </row>
    <row r="2674" spans="2:5" ht="15" x14ac:dyDescent="0.2">
      <c r="B2674" s="7"/>
      <c r="C2674" s="7"/>
      <c r="D2674" s="82"/>
      <c r="E2674" s="76"/>
    </row>
    <row r="2675" spans="2:5" ht="15" x14ac:dyDescent="0.2">
      <c r="B2675" s="7"/>
      <c r="C2675" s="7"/>
      <c r="D2675" s="82"/>
      <c r="E2675" s="76"/>
    </row>
    <row r="2676" spans="2:5" ht="15" x14ac:dyDescent="0.2">
      <c r="B2676" s="7"/>
      <c r="C2676" s="7"/>
      <c r="D2676" s="82"/>
      <c r="E2676" s="76"/>
    </row>
    <row r="2677" spans="2:5" ht="15" x14ac:dyDescent="0.2">
      <c r="B2677" s="7"/>
      <c r="C2677" s="7"/>
      <c r="D2677" s="82"/>
      <c r="E2677" s="76"/>
    </row>
    <row r="2678" spans="2:5" ht="15" x14ac:dyDescent="0.2">
      <c r="B2678" s="7"/>
      <c r="C2678" s="7"/>
      <c r="D2678" s="82"/>
      <c r="E2678" s="76"/>
    </row>
    <row r="2679" spans="2:5" ht="15" x14ac:dyDescent="0.2">
      <c r="B2679" s="7"/>
      <c r="C2679" s="7"/>
      <c r="D2679" s="82"/>
      <c r="E2679" s="76"/>
    </row>
    <row r="2680" spans="2:5" ht="15" x14ac:dyDescent="0.2">
      <c r="B2680" s="7"/>
      <c r="C2680" s="7"/>
      <c r="D2680" s="82"/>
      <c r="E2680" s="76"/>
    </row>
    <row r="2681" spans="2:5" ht="15" x14ac:dyDescent="0.2">
      <c r="B2681" s="7"/>
      <c r="C2681" s="7"/>
      <c r="D2681" s="82"/>
      <c r="E2681" s="76"/>
    </row>
    <row r="2682" spans="2:5" ht="15" x14ac:dyDescent="0.2">
      <c r="B2682" s="7"/>
      <c r="C2682" s="7"/>
      <c r="D2682" s="82"/>
      <c r="E2682" s="76"/>
    </row>
    <row r="2683" spans="2:5" ht="15" x14ac:dyDescent="0.2">
      <c r="B2683" s="7"/>
      <c r="C2683" s="7"/>
      <c r="D2683" s="82"/>
      <c r="E2683" s="76"/>
    </row>
    <row r="2684" spans="2:5" ht="15" x14ac:dyDescent="0.2">
      <c r="B2684" s="7"/>
      <c r="C2684" s="7"/>
      <c r="D2684" s="82"/>
      <c r="E2684" s="76"/>
    </row>
    <row r="2685" spans="2:5" ht="15" x14ac:dyDescent="0.2">
      <c r="B2685" s="7"/>
      <c r="C2685" s="7"/>
      <c r="D2685" s="82"/>
      <c r="E2685" s="76"/>
    </row>
    <row r="2686" spans="2:5" ht="15" x14ac:dyDescent="0.2">
      <c r="B2686" s="7"/>
      <c r="C2686" s="7"/>
      <c r="D2686" s="82"/>
      <c r="E2686" s="76"/>
    </row>
    <row r="2687" spans="2:5" ht="15" x14ac:dyDescent="0.2">
      <c r="B2687" s="7"/>
      <c r="C2687" s="7"/>
      <c r="D2687" s="82"/>
      <c r="E2687" s="76"/>
    </row>
    <row r="2688" spans="2:5" ht="15" x14ac:dyDescent="0.2">
      <c r="B2688" s="7"/>
      <c r="C2688" s="7"/>
      <c r="D2688" s="82"/>
      <c r="E2688" s="76"/>
    </row>
    <row r="2689" spans="2:5" ht="15" x14ac:dyDescent="0.2">
      <c r="B2689" s="7"/>
      <c r="C2689" s="7"/>
      <c r="D2689" s="82"/>
      <c r="E2689" s="76"/>
    </row>
    <row r="2690" spans="2:5" ht="15" x14ac:dyDescent="0.2">
      <c r="B2690" s="7"/>
      <c r="C2690" s="7"/>
      <c r="D2690" s="82"/>
      <c r="E2690" s="76"/>
    </row>
    <row r="2691" spans="2:5" ht="15" x14ac:dyDescent="0.2">
      <c r="B2691" s="7"/>
      <c r="C2691" s="7"/>
      <c r="D2691" s="82"/>
      <c r="E2691" s="76"/>
    </row>
    <row r="2692" spans="2:5" ht="15" x14ac:dyDescent="0.2">
      <c r="B2692" s="7"/>
      <c r="C2692" s="7"/>
      <c r="D2692" s="82"/>
      <c r="E2692" s="76"/>
    </row>
    <row r="2693" spans="2:5" ht="15" x14ac:dyDescent="0.2">
      <c r="B2693" s="7"/>
      <c r="C2693" s="7"/>
      <c r="D2693" s="82"/>
      <c r="E2693" s="76"/>
    </row>
    <row r="2694" spans="2:5" ht="15" x14ac:dyDescent="0.2">
      <c r="B2694" s="7"/>
      <c r="C2694" s="7"/>
      <c r="D2694" s="82"/>
      <c r="E2694" s="76"/>
    </row>
    <row r="2695" spans="2:5" ht="15" x14ac:dyDescent="0.2">
      <c r="B2695" s="7"/>
      <c r="C2695" s="7"/>
      <c r="D2695" s="82"/>
      <c r="E2695" s="76"/>
    </row>
    <row r="2696" spans="2:5" ht="15" x14ac:dyDescent="0.2">
      <c r="B2696" s="7"/>
      <c r="C2696" s="7"/>
      <c r="D2696" s="82"/>
      <c r="E2696" s="76"/>
    </row>
    <row r="2697" spans="2:5" ht="15" x14ac:dyDescent="0.2">
      <c r="B2697" s="7"/>
      <c r="C2697" s="7"/>
      <c r="D2697" s="82"/>
      <c r="E2697" s="76"/>
    </row>
    <row r="2698" spans="2:5" ht="15" x14ac:dyDescent="0.2">
      <c r="B2698" s="7"/>
      <c r="C2698" s="7"/>
      <c r="D2698" s="82"/>
      <c r="E2698" s="76"/>
    </row>
    <row r="2699" spans="2:5" ht="15" x14ac:dyDescent="0.2">
      <c r="B2699" s="7"/>
      <c r="C2699" s="7"/>
      <c r="D2699" s="82"/>
      <c r="E2699" s="76"/>
    </row>
    <row r="2700" spans="2:5" ht="15" x14ac:dyDescent="0.2">
      <c r="B2700" s="7"/>
      <c r="C2700" s="7"/>
      <c r="D2700" s="82"/>
      <c r="E2700" s="76"/>
    </row>
    <row r="2701" spans="2:5" ht="15" x14ac:dyDescent="0.2">
      <c r="B2701" s="7"/>
      <c r="C2701" s="7"/>
      <c r="D2701" s="82"/>
      <c r="E2701" s="76"/>
    </row>
    <row r="2702" spans="2:5" ht="15" x14ac:dyDescent="0.2">
      <c r="B2702" s="7"/>
      <c r="C2702" s="7"/>
      <c r="D2702" s="82"/>
      <c r="E2702" s="76"/>
    </row>
    <row r="2703" spans="2:5" ht="15" x14ac:dyDescent="0.2">
      <c r="B2703" s="7"/>
      <c r="C2703" s="7"/>
      <c r="D2703" s="82"/>
      <c r="E2703" s="76"/>
    </row>
    <row r="2704" spans="2:5" ht="15" x14ac:dyDescent="0.2">
      <c r="B2704" s="7"/>
      <c r="C2704" s="7"/>
      <c r="D2704" s="82"/>
      <c r="E2704" s="76"/>
    </row>
    <row r="2705" spans="2:5" ht="15" x14ac:dyDescent="0.2">
      <c r="B2705" s="7"/>
      <c r="C2705" s="7"/>
      <c r="D2705" s="82"/>
      <c r="E2705" s="76"/>
    </row>
    <row r="2706" spans="2:5" ht="15" x14ac:dyDescent="0.2">
      <c r="B2706" s="7"/>
      <c r="C2706" s="7"/>
      <c r="D2706" s="82"/>
      <c r="E2706" s="76"/>
    </row>
    <row r="2707" spans="2:5" ht="15" x14ac:dyDescent="0.2">
      <c r="B2707" s="7"/>
      <c r="C2707" s="7"/>
      <c r="D2707" s="82"/>
      <c r="E2707" s="76"/>
    </row>
    <row r="2708" spans="2:5" ht="15" x14ac:dyDescent="0.2">
      <c r="B2708" s="7"/>
      <c r="C2708" s="7"/>
      <c r="D2708" s="82"/>
      <c r="E2708" s="76"/>
    </row>
    <row r="2709" spans="2:5" ht="15" x14ac:dyDescent="0.2">
      <c r="B2709" s="7"/>
      <c r="C2709" s="7"/>
      <c r="D2709" s="82"/>
      <c r="E2709" s="76"/>
    </row>
    <row r="2710" spans="2:5" ht="15" x14ac:dyDescent="0.2">
      <c r="B2710" s="7"/>
      <c r="C2710" s="7"/>
      <c r="D2710" s="82"/>
      <c r="E2710" s="76"/>
    </row>
    <row r="2711" spans="2:5" ht="15" x14ac:dyDescent="0.2">
      <c r="B2711" s="7"/>
      <c r="C2711" s="7"/>
      <c r="D2711" s="82"/>
      <c r="E2711" s="76"/>
    </row>
    <row r="2712" spans="2:5" ht="15" x14ac:dyDescent="0.2">
      <c r="B2712" s="7"/>
      <c r="C2712" s="7"/>
      <c r="D2712" s="82"/>
      <c r="E2712" s="76"/>
    </row>
    <row r="2713" spans="2:5" ht="15" x14ac:dyDescent="0.2">
      <c r="B2713" s="7"/>
      <c r="C2713" s="7"/>
      <c r="D2713" s="82"/>
      <c r="E2713" s="76"/>
    </row>
    <row r="2714" spans="2:5" ht="15" x14ac:dyDescent="0.2">
      <c r="B2714" s="7"/>
      <c r="C2714" s="7"/>
      <c r="D2714" s="82"/>
      <c r="E2714" s="76"/>
    </row>
    <row r="2715" spans="2:5" ht="15" x14ac:dyDescent="0.2">
      <c r="B2715" s="7"/>
      <c r="C2715" s="7"/>
      <c r="D2715" s="82"/>
      <c r="E2715" s="76"/>
    </row>
    <row r="2716" spans="2:5" ht="15" x14ac:dyDescent="0.2">
      <c r="B2716" s="7"/>
      <c r="C2716" s="7"/>
      <c r="D2716" s="82"/>
      <c r="E2716" s="76"/>
    </row>
    <row r="2717" spans="2:5" ht="15" x14ac:dyDescent="0.2">
      <c r="B2717" s="7"/>
      <c r="C2717" s="7"/>
      <c r="D2717" s="82"/>
      <c r="E2717" s="76"/>
    </row>
    <row r="2718" spans="2:5" ht="15" x14ac:dyDescent="0.2">
      <c r="B2718" s="7"/>
      <c r="C2718" s="7"/>
      <c r="D2718" s="82"/>
      <c r="E2718" s="76"/>
    </row>
    <row r="2719" spans="2:5" ht="15" x14ac:dyDescent="0.2">
      <c r="B2719" s="7"/>
      <c r="C2719" s="7"/>
      <c r="D2719" s="82"/>
      <c r="E2719" s="76"/>
    </row>
    <row r="2720" spans="2:5" ht="15" x14ac:dyDescent="0.2">
      <c r="B2720" s="7"/>
      <c r="C2720" s="7"/>
      <c r="D2720" s="82"/>
      <c r="E2720" s="76"/>
    </row>
    <row r="2721" spans="2:5" ht="15" x14ac:dyDescent="0.2">
      <c r="B2721" s="7"/>
      <c r="C2721" s="7"/>
      <c r="D2721" s="82"/>
      <c r="E2721" s="76"/>
    </row>
    <row r="2722" spans="2:5" ht="15" x14ac:dyDescent="0.2">
      <c r="B2722" s="7"/>
      <c r="C2722" s="7"/>
      <c r="D2722" s="82"/>
      <c r="E2722" s="76"/>
    </row>
    <row r="2723" spans="2:5" ht="15" x14ac:dyDescent="0.2">
      <c r="B2723" s="7"/>
      <c r="C2723" s="7"/>
      <c r="D2723" s="82"/>
      <c r="E2723" s="76"/>
    </row>
    <row r="2724" spans="2:5" ht="15" x14ac:dyDescent="0.2">
      <c r="B2724" s="7"/>
      <c r="C2724" s="7"/>
      <c r="D2724" s="82"/>
      <c r="E2724" s="76"/>
    </row>
    <row r="2725" spans="2:5" ht="15" x14ac:dyDescent="0.2">
      <c r="B2725" s="7"/>
      <c r="C2725" s="7"/>
      <c r="D2725" s="82"/>
      <c r="E2725" s="76"/>
    </row>
    <row r="2726" spans="2:5" ht="15" x14ac:dyDescent="0.2">
      <c r="B2726" s="7"/>
      <c r="C2726" s="7"/>
      <c r="D2726" s="82"/>
      <c r="E2726" s="76"/>
    </row>
    <row r="2727" spans="2:5" ht="15" x14ac:dyDescent="0.2">
      <c r="B2727" s="7"/>
      <c r="C2727" s="7"/>
      <c r="D2727" s="82"/>
      <c r="E2727" s="76"/>
    </row>
    <row r="2728" spans="2:5" ht="15" x14ac:dyDescent="0.2">
      <c r="B2728" s="7"/>
      <c r="C2728" s="7"/>
      <c r="D2728" s="82"/>
      <c r="E2728" s="76"/>
    </row>
    <row r="2729" spans="2:5" ht="15" x14ac:dyDescent="0.2">
      <c r="B2729" s="7"/>
      <c r="C2729" s="7"/>
      <c r="D2729" s="82"/>
      <c r="E2729" s="76"/>
    </row>
    <row r="2730" spans="2:5" ht="15" x14ac:dyDescent="0.2">
      <c r="B2730" s="7"/>
      <c r="C2730" s="7"/>
      <c r="D2730" s="82"/>
      <c r="E2730" s="76"/>
    </row>
    <row r="2731" spans="2:5" ht="15" x14ac:dyDescent="0.2">
      <c r="B2731" s="7"/>
      <c r="C2731" s="7"/>
      <c r="D2731" s="82"/>
      <c r="E2731" s="76"/>
    </row>
    <row r="2732" spans="2:5" ht="15" x14ac:dyDescent="0.2">
      <c r="B2732" s="7"/>
      <c r="C2732" s="7"/>
      <c r="D2732" s="82"/>
      <c r="E2732" s="76"/>
    </row>
    <row r="2733" spans="2:5" ht="15" x14ac:dyDescent="0.2">
      <c r="B2733" s="7"/>
      <c r="C2733" s="7"/>
      <c r="D2733" s="82"/>
      <c r="E2733" s="76"/>
    </row>
    <row r="2734" spans="2:5" ht="15" x14ac:dyDescent="0.2">
      <c r="B2734" s="7"/>
      <c r="C2734" s="7"/>
      <c r="D2734" s="82"/>
      <c r="E2734" s="76"/>
    </row>
    <row r="2735" spans="2:5" ht="15" x14ac:dyDescent="0.2">
      <c r="B2735" s="7"/>
      <c r="C2735" s="7"/>
      <c r="D2735" s="82"/>
      <c r="E2735" s="76"/>
    </row>
    <row r="2736" spans="2:5" ht="15" x14ac:dyDescent="0.2">
      <c r="B2736" s="7"/>
      <c r="C2736" s="7"/>
      <c r="D2736" s="82"/>
      <c r="E2736" s="76"/>
    </row>
    <row r="2737" spans="1:5" ht="15" x14ac:dyDescent="0.2">
      <c r="A2737" s="53" t="s">
        <v>2443</v>
      </c>
      <c r="B2737" s="7" t="s">
        <v>1019</v>
      </c>
      <c r="C2737" s="7" t="s">
        <v>6</v>
      </c>
      <c r="D2737" s="82">
        <v>82000</v>
      </c>
      <c r="E2737" s="76">
        <f t="shared" si="16"/>
        <v>82015</v>
      </c>
    </row>
    <row r="2738" spans="1:5" ht="15" x14ac:dyDescent="0.2">
      <c r="B2738" s="7" t="s">
        <v>1021</v>
      </c>
      <c r="C2738" s="7" t="s">
        <v>3</v>
      </c>
      <c r="D2738" s="82">
        <v>137000</v>
      </c>
      <c r="E2738" s="76">
        <f t="shared" si="16"/>
        <v>137015</v>
      </c>
    </row>
    <row r="2739" spans="1:5" ht="15" x14ac:dyDescent="0.2">
      <c r="B2739" s="7" t="s">
        <v>1023</v>
      </c>
      <c r="C2739" s="7" t="s">
        <v>6</v>
      </c>
      <c r="D2739" s="82">
        <v>36000</v>
      </c>
      <c r="E2739" s="76">
        <f t="shared" si="16"/>
        <v>36015</v>
      </c>
    </row>
    <row r="2740" spans="1:5" ht="15" x14ac:dyDescent="0.2">
      <c r="B2740" s="7" t="s">
        <v>1025</v>
      </c>
      <c r="C2740" s="7" t="s">
        <v>6</v>
      </c>
      <c r="D2740" s="82">
        <v>215000</v>
      </c>
      <c r="E2740" s="76">
        <f t="shared" si="16"/>
        <v>215015</v>
      </c>
    </row>
    <row r="2741" spans="1:5" ht="15" x14ac:dyDescent="0.2">
      <c r="B2741" s="7" t="s">
        <v>1027</v>
      </c>
      <c r="C2741" s="7" t="s">
        <v>12</v>
      </c>
      <c r="D2741" s="82">
        <v>35500</v>
      </c>
      <c r="E2741" s="76">
        <f t="shared" si="16"/>
        <v>35515</v>
      </c>
    </row>
    <row r="2742" spans="1:5" ht="15" x14ac:dyDescent="0.2">
      <c r="B2742" s="7" t="s">
        <v>1029</v>
      </c>
      <c r="C2742" s="7" t="s">
        <v>6</v>
      </c>
      <c r="D2742" s="82">
        <v>168000</v>
      </c>
      <c r="E2742" s="76">
        <f t="shared" si="16"/>
        <v>168015</v>
      </c>
    </row>
    <row r="2743" spans="1:5" ht="15" x14ac:dyDescent="0.2">
      <c r="B2743" s="7" t="s">
        <v>1031</v>
      </c>
      <c r="C2743" s="7" t="s">
        <v>12</v>
      </c>
      <c r="D2743" s="82">
        <v>11400</v>
      </c>
      <c r="E2743" s="76">
        <f t="shared" si="16"/>
        <v>11415</v>
      </c>
    </row>
    <row r="2744" spans="1:5" ht="15" x14ac:dyDescent="0.2">
      <c r="B2744" s="7" t="s">
        <v>1033</v>
      </c>
      <c r="C2744" s="7" t="s">
        <v>45</v>
      </c>
      <c r="D2744" s="82">
        <v>15000</v>
      </c>
      <c r="E2744" s="76">
        <f t="shared" si="16"/>
        <v>15015</v>
      </c>
    </row>
    <row r="2745" spans="1:5" ht="15" x14ac:dyDescent="0.2">
      <c r="B2745" s="7" t="s">
        <v>1035</v>
      </c>
      <c r="C2745" s="7" t="s">
        <v>6</v>
      </c>
      <c r="D2745" s="82">
        <v>171000</v>
      </c>
      <c r="E2745" s="76">
        <f t="shared" si="16"/>
        <v>171015</v>
      </c>
    </row>
    <row r="2746" spans="1:5" ht="15" x14ac:dyDescent="0.2">
      <c r="B2746" s="7" t="s">
        <v>1037</v>
      </c>
      <c r="C2746" s="7" t="s">
        <v>3</v>
      </c>
      <c r="D2746" s="82">
        <v>42000</v>
      </c>
      <c r="E2746" s="76">
        <f t="shared" si="16"/>
        <v>42015</v>
      </c>
    </row>
    <row r="2747" spans="1:5" ht="15" x14ac:dyDescent="0.2">
      <c r="B2747" s="7" t="s">
        <v>1039</v>
      </c>
      <c r="C2747" s="7" t="s">
        <v>3</v>
      </c>
      <c r="D2747" s="82">
        <v>35000</v>
      </c>
      <c r="E2747" s="76">
        <f t="shared" si="16"/>
        <v>35015</v>
      </c>
    </row>
    <row r="2748" spans="1:5" ht="15" x14ac:dyDescent="0.2">
      <c r="B2748" s="7" t="s">
        <v>1041</v>
      </c>
      <c r="C2748" s="7" t="s">
        <v>6</v>
      </c>
      <c r="D2748" s="82">
        <v>14000</v>
      </c>
      <c r="E2748" s="76">
        <f t="shared" si="16"/>
        <v>14015</v>
      </c>
    </row>
    <row r="2749" spans="1:5" ht="15" x14ac:dyDescent="0.2">
      <c r="B2749" s="7" t="s">
        <v>1043</v>
      </c>
      <c r="C2749" s="7" t="s">
        <v>6</v>
      </c>
      <c r="D2749" s="82">
        <v>43000</v>
      </c>
      <c r="E2749" s="76">
        <f t="shared" si="16"/>
        <v>43015</v>
      </c>
    </row>
    <row r="2750" spans="1:5" ht="15" x14ac:dyDescent="0.2">
      <c r="B2750" s="7" t="s">
        <v>1045</v>
      </c>
      <c r="C2750" s="7" t="s">
        <v>6</v>
      </c>
      <c r="D2750" s="82">
        <v>22000</v>
      </c>
      <c r="E2750" s="76">
        <f t="shared" si="16"/>
        <v>22015</v>
      </c>
    </row>
    <row r="2751" spans="1:5" ht="15" x14ac:dyDescent="0.2">
      <c r="B2751" s="7" t="s">
        <v>1047</v>
      </c>
      <c r="C2751" s="7" t="s">
        <v>3</v>
      </c>
      <c r="D2751" s="82">
        <v>80000</v>
      </c>
      <c r="E2751" s="76">
        <f t="shared" si="16"/>
        <v>80015</v>
      </c>
    </row>
    <row r="2752" spans="1:5" ht="15" x14ac:dyDescent="0.2">
      <c r="B2752" s="7" t="s">
        <v>1049</v>
      </c>
      <c r="C2752" s="7" t="s">
        <v>37</v>
      </c>
      <c r="D2752" s="82">
        <v>230000</v>
      </c>
      <c r="E2752" s="76">
        <f t="shared" si="16"/>
        <v>230015</v>
      </c>
    </row>
    <row r="2753" spans="2:5" ht="15" x14ac:dyDescent="0.2">
      <c r="B2753" s="7" t="s">
        <v>1051</v>
      </c>
      <c r="C2753" s="7" t="s">
        <v>3</v>
      </c>
      <c r="D2753" s="82">
        <v>35000</v>
      </c>
      <c r="E2753" s="76">
        <f t="shared" si="16"/>
        <v>35015</v>
      </c>
    </row>
    <row r="2754" spans="2:5" ht="15" x14ac:dyDescent="0.2">
      <c r="B2754" s="7" t="s">
        <v>1053</v>
      </c>
      <c r="C2754" s="7" t="s">
        <v>3</v>
      </c>
      <c r="D2754" s="82">
        <v>25000</v>
      </c>
      <c r="E2754" s="76">
        <f t="shared" si="16"/>
        <v>25015</v>
      </c>
    </row>
    <row r="2755" spans="2:5" ht="15" x14ac:dyDescent="0.2">
      <c r="B2755" s="7" t="s">
        <v>1055</v>
      </c>
      <c r="C2755" s="7" t="s">
        <v>3</v>
      </c>
      <c r="D2755" s="82">
        <v>25000</v>
      </c>
      <c r="E2755" s="76">
        <f t="shared" si="16"/>
        <v>25015</v>
      </c>
    </row>
    <row r="2756" spans="2:5" ht="15" x14ac:dyDescent="0.2">
      <c r="B2756" s="7" t="s">
        <v>1057</v>
      </c>
      <c r="C2756" s="7" t="s">
        <v>3</v>
      </c>
      <c r="D2756" s="82">
        <v>35000</v>
      </c>
      <c r="E2756" s="76">
        <f t="shared" si="16"/>
        <v>35015</v>
      </c>
    </row>
    <row r="2757" spans="2:5" ht="15" x14ac:dyDescent="0.2">
      <c r="B2757" s="7" t="s">
        <v>1059</v>
      </c>
      <c r="C2757" s="7" t="s">
        <v>3</v>
      </c>
      <c r="D2757" s="82">
        <v>4500</v>
      </c>
      <c r="E2757" s="76">
        <f t="shared" si="16"/>
        <v>4515</v>
      </c>
    </row>
    <row r="2758" spans="2:5" ht="15" x14ac:dyDescent="0.2">
      <c r="B2758" s="7" t="s">
        <v>1061</v>
      </c>
      <c r="C2758" s="7" t="s">
        <v>535</v>
      </c>
      <c r="D2758" s="83">
        <v>17400</v>
      </c>
      <c r="E2758" s="76">
        <f t="shared" si="16"/>
        <v>17415</v>
      </c>
    </row>
    <row r="2759" spans="2:5" ht="15" x14ac:dyDescent="0.2">
      <c r="B2759" s="92"/>
      <c r="C2759" s="92"/>
      <c r="D2759" s="93"/>
      <c r="E2759" s="94"/>
    </row>
    <row r="2760" spans="2:5" ht="15" x14ac:dyDescent="0.2">
      <c r="B2760" s="92"/>
      <c r="C2760" s="92"/>
      <c r="D2760" s="93"/>
      <c r="E2760" s="94"/>
    </row>
    <row r="2761" spans="2:5" ht="15" x14ac:dyDescent="0.2">
      <c r="B2761" s="92"/>
      <c r="C2761" s="92"/>
      <c r="D2761" s="93"/>
      <c r="E2761" s="94"/>
    </row>
    <row r="2762" spans="2:5" ht="15" x14ac:dyDescent="0.2">
      <c r="B2762" s="92"/>
      <c r="C2762" s="92"/>
      <c r="D2762" s="93"/>
      <c r="E2762" s="94"/>
    </row>
    <row r="2763" spans="2:5" ht="15" x14ac:dyDescent="0.2">
      <c r="B2763" s="92"/>
      <c r="C2763" s="92"/>
      <c r="D2763" s="93"/>
      <c r="E2763" s="94"/>
    </row>
    <row r="2764" spans="2:5" ht="15" x14ac:dyDescent="0.2">
      <c r="B2764" s="92"/>
      <c r="C2764" s="92"/>
      <c r="D2764" s="93"/>
      <c r="E2764" s="94"/>
    </row>
    <row r="2765" spans="2:5" ht="15" x14ac:dyDescent="0.2">
      <c r="B2765" s="92"/>
      <c r="C2765" s="92"/>
      <c r="D2765" s="93"/>
      <c r="E2765" s="94"/>
    </row>
    <row r="2766" spans="2:5" ht="15" x14ac:dyDescent="0.2">
      <c r="B2766" s="92"/>
      <c r="C2766" s="92"/>
      <c r="D2766" s="93"/>
      <c r="E2766" s="94"/>
    </row>
    <row r="2767" spans="2:5" ht="15" x14ac:dyDescent="0.2">
      <c r="B2767" s="92"/>
      <c r="C2767" s="92"/>
      <c r="D2767" s="93"/>
      <c r="E2767" s="94"/>
    </row>
    <row r="2768" spans="2:5" ht="15" x14ac:dyDescent="0.2">
      <c r="B2768" s="92"/>
      <c r="C2768" s="92"/>
      <c r="D2768" s="93"/>
      <c r="E2768" s="94"/>
    </row>
    <row r="2769" spans="2:5" ht="15" x14ac:dyDescent="0.2">
      <c r="B2769" s="92"/>
      <c r="C2769" s="92"/>
      <c r="D2769" s="93"/>
      <c r="E2769" s="94"/>
    </row>
    <row r="2770" spans="2:5" ht="15" x14ac:dyDescent="0.2">
      <c r="B2770" s="92"/>
      <c r="C2770" s="92"/>
      <c r="D2770" s="93"/>
      <c r="E2770" s="94"/>
    </row>
    <row r="2771" spans="2:5" ht="15" x14ac:dyDescent="0.2">
      <c r="B2771" s="92"/>
      <c r="C2771" s="92"/>
      <c r="D2771" s="93"/>
      <c r="E2771" s="94"/>
    </row>
    <row r="2772" spans="2:5" ht="15" x14ac:dyDescent="0.2">
      <c r="B2772" s="92"/>
      <c r="C2772" s="92"/>
      <c r="D2772" s="93"/>
      <c r="E2772" s="94"/>
    </row>
    <row r="2773" spans="2:5" ht="15" x14ac:dyDescent="0.2">
      <c r="B2773" s="92"/>
      <c r="C2773" s="92"/>
      <c r="D2773" s="93"/>
      <c r="E2773" s="94"/>
    </row>
    <row r="2774" spans="2:5" ht="15" x14ac:dyDescent="0.2">
      <c r="B2774" s="92"/>
      <c r="C2774" s="92"/>
      <c r="D2774" s="93"/>
      <c r="E2774" s="94"/>
    </row>
    <row r="2775" spans="2:5" ht="15" x14ac:dyDescent="0.2">
      <c r="B2775" s="92"/>
      <c r="C2775" s="92"/>
      <c r="D2775" s="93"/>
      <c r="E2775" s="94"/>
    </row>
    <row r="2776" spans="2:5" ht="15" x14ac:dyDescent="0.2">
      <c r="B2776" s="92"/>
      <c r="C2776" s="92"/>
      <c r="D2776" s="93"/>
      <c r="E2776" s="94"/>
    </row>
    <row r="2777" spans="2:5" ht="15" x14ac:dyDescent="0.2">
      <c r="B2777" s="92"/>
      <c r="C2777" s="92"/>
      <c r="D2777" s="93"/>
      <c r="E2777" s="94"/>
    </row>
    <row r="2778" spans="2:5" ht="15" x14ac:dyDescent="0.2">
      <c r="B2778" s="92"/>
      <c r="C2778" s="92"/>
      <c r="D2778" s="93"/>
      <c r="E2778" s="94"/>
    </row>
    <row r="2779" spans="2:5" ht="15" x14ac:dyDescent="0.2">
      <c r="B2779" s="92"/>
      <c r="C2779" s="92"/>
      <c r="D2779" s="93"/>
      <c r="E2779" s="94"/>
    </row>
    <row r="2780" spans="2:5" ht="15" x14ac:dyDescent="0.2">
      <c r="B2780" s="92"/>
      <c r="C2780" s="92"/>
      <c r="D2780" s="93"/>
      <c r="E2780" s="94"/>
    </row>
    <row r="2781" spans="2:5" ht="15" x14ac:dyDescent="0.2">
      <c r="B2781" s="92"/>
      <c r="C2781" s="92"/>
      <c r="D2781" s="93"/>
      <c r="E2781" s="94"/>
    </row>
    <row r="2782" spans="2:5" ht="15" x14ac:dyDescent="0.2">
      <c r="B2782" s="92"/>
      <c r="C2782" s="92"/>
      <c r="D2782" s="93"/>
      <c r="E2782" s="94"/>
    </row>
    <row r="2783" spans="2:5" ht="15" x14ac:dyDescent="0.2">
      <c r="B2783" s="92"/>
      <c r="C2783" s="92"/>
      <c r="D2783" s="93"/>
      <c r="E2783" s="94"/>
    </row>
    <row r="2784" spans="2:5" ht="15" x14ac:dyDescent="0.2">
      <c r="B2784" s="92"/>
      <c r="C2784" s="92"/>
      <c r="D2784" s="93"/>
      <c r="E2784" s="94"/>
    </row>
    <row r="2785" spans="2:5" ht="15" x14ac:dyDescent="0.2">
      <c r="B2785" s="92"/>
      <c r="C2785" s="92"/>
      <c r="D2785" s="93"/>
      <c r="E2785" s="94"/>
    </row>
    <row r="2786" spans="2:5" ht="15" x14ac:dyDescent="0.2">
      <c r="B2786" s="92"/>
      <c r="C2786" s="92"/>
      <c r="D2786" s="93"/>
      <c r="E2786" s="94"/>
    </row>
    <row r="2787" spans="2:5" ht="15" x14ac:dyDescent="0.2">
      <c r="B2787" s="92"/>
      <c r="C2787" s="92"/>
      <c r="D2787" s="93"/>
      <c r="E2787" s="94"/>
    </row>
    <row r="2788" spans="2:5" ht="15" x14ac:dyDescent="0.2">
      <c r="B2788" s="92"/>
      <c r="C2788" s="92"/>
      <c r="D2788" s="93"/>
      <c r="E2788" s="94"/>
    </row>
    <row r="2789" spans="2:5" ht="15" x14ac:dyDescent="0.2">
      <c r="B2789" s="92"/>
      <c r="C2789" s="92"/>
      <c r="D2789" s="93"/>
      <c r="E2789" s="94"/>
    </row>
    <row r="2790" spans="2:5" ht="15" x14ac:dyDescent="0.2">
      <c r="B2790" s="92"/>
      <c r="C2790" s="92"/>
      <c r="D2790" s="93"/>
      <c r="E2790" s="94"/>
    </row>
    <row r="2791" spans="2:5" ht="15" x14ac:dyDescent="0.2">
      <c r="B2791" s="92"/>
      <c r="C2791" s="92"/>
      <c r="D2791" s="93"/>
      <c r="E2791" s="94"/>
    </row>
    <row r="2792" spans="2:5" ht="15" x14ac:dyDescent="0.2">
      <c r="B2792" s="92"/>
      <c r="C2792" s="92"/>
      <c r="D2792" s="93"/>
      <c r="E2792" s="94"/>
    </row>
    <row r="2793" spans="2:5" ht="15" x14ac:dyDescent="0.2">
      <c r="B2793" s="92"/>
      <c r="C2793" s="92"/>
      <c r="D2793" s="93"/>
      <c r="E2793" s="94"/>
    </row>
    <row r="2794" spans="2:5" ht="15" x14ac:dyDescent="0.2">
      <c r="B2794" s="92"/>
      <c r="C2794" s="92"/>
      <c r="D2794" s="93"/>
      <c r="E2794" s="94"/>
    </row>
    <row r="2795" spans="2:5" ht="15" x14ac:dyDescent="0.2">
      <c r="B2795" s="92"/>
      <c r="C2795" s="92"/>
      <c r="D2795" s="93"/>
      <c r="E2795" s="94"/>
    </row>
    <row r="2796" spans="2:5" ht="15" x14ac:dyDescent="0.2">
      <c r="B2796" s="92"/>
      <c r="C2796" s="92"/>
      <c r="D2796" s="93"/>
      <c r="E2796" s="94"/>
    </row>
    <row r="2797" spans="2:5" ht="15" x14ac:dyDescent="0.2">
      <c r="B2797" s="92"/>
      <c r="C2797" s="92"/>
      <c r="D2797" s="93"/>
      <c r="E2797" s="94"/>
    </row>
    <row r="2798" spans="2:5" ht="15" x14ac:dyDescent="0.2">
      <c r="B2798" s="92"/>
      <c r="C2798" s="92"/>
      <c r="D2798" s="93"/>
      <c r="E2798" s="94"/>
    </row>
    <row r="2799" spans="2:5" ht="15" x14ac:dyDescent="0.2">
      <c r="B2799" s="92"/>
      <c r="C2799" s="92"/>
      <c r="D2799" s="93"/>
      <c r="E2799" s="94"/>
    </row>
    <row r="2800" spans="2:5" ht="15" x14ac:dyDescent="0.2">
      <c r="B2800" s="92"/>
      <c r="C2800" s="92"/>
      <c r="D2800" s="93"/>
      <c r="E2800" s="94"/>
    </row>
    <row r="2801" spans="2:5" ht="15" x14ac:dyDescent="0.2">
      <c r="B2801" s="92"/>
      <c r="C2801" s="92"/>
      <c r="D2801" s="93"/>
      <c r="E2801" s="94"/>
    </row>
    <row r="2802" spans="2:5" ht="15" x14ac:dyDescent="0.2">
      <c r="B2802" s="92"/>
      <c r="C2802" s="92"/>
      <c r="D2802" s="93"/>
      <c r="E2802" s="94"/>
    </row>
    <row r="2803" spans="2:5" ht="15" x14ac:dyDescent="0.2">
      <c r="B2803" s="92"/>
      <c r="C2803" s="92"/>
      <c r="D2803" s="93"/>
      <c r="E2803" s="94"/>
    </row>
    <row r="2804" spans="2:5" ht="15" x14ac:dyDescent="0.2">
      <c r="B2804" s="92"/>
      <c r="C2804" s="92"/>
      <c r="D2804" s="93"/>
      <c r="E2804" s="94"/>
    </row>
    <row r="2805" spans="2:5" ht="15" x14ac:dyDescent="0.2">
      <c r="B2805" s="92"/>
      <c r="C2805" s="92"/>
      <c r="D2805" s="93"/>
      <c r="E2805" s="94"/>
    </row>
    <row r="2806" spans="2:5" ht="15" x14ac:dyDescent="0.2">
      <c r="B2806" s="92"/>
      <c r="C2806" s="92"/>
      <c r="D2806" s="93"/>
      <c r="E2806" s="94"/>
    </row>
    <row r="2807" spans="2:5" ht="15" x14ac:dyDescent="0.2">
      <c r="B2807" s="92"/>
      <c r="C2807" s="92"/>
      <c r="D2807" s="93"/>
      <c r="E2807" s="94"/>
    </row>
    <row r="2808" spans="2:5" ht="15" x14ac:dyDescent="0.2">
      <c r="B2808" s="92"/>
      <c r="C2808" s="92"/>
      <c r="D2808" s="93"/>
      <c r="E2808" s="94"/>
    </row>
    <row r="2809" spans="2:5" ht="15" x14ac:dyDescent="0.2">
      <c r="B2809" s="92"/>
      <c r="C2809" s="92"/>
      <c r="D2809" s="93"/>
      <c r="E2809" s="94"/>
    </row>
    <row r="2810" spans="2:5" ht="15" x14ac:dyDescent="0.2">
      <c r="B2810" s="92"/>
      <c r="C2810" s="92"/>
      <c r="D2810" s="93"/>
      <c r="E2810" s="94"/>
    </row>
    <row r="2811" spans="2:5" ht="15" x14ac:dyDescent="0.2">
      <c r="B2811" s="92"/>
      <c r="C2811" s="92"/>
      <c r="D2811" s="93"/>
      <c r="E2811" s="94"/>
    </row>
    <row r="2812" spans="2:5" ht="15" x14ac:dyDescent="0.2">
      <c r="B2812" s="92"/>
      <c r="C2812" s="92"/>
      <c r="D2812" s="93"/>
      <c r="E2812" s="94"/>
    </row>
    <row r="2813" spans="2:5" ht="15" x14ac:dyDescent="0.2">
      <c r="B2813" s="92"/>
      <c r="C2813" s="92"/>
      <c r="D2813" s="93"/>
      <c r="E2813" s="94"/>
    </row>
    <row r="2814" spans="2:5" ht="15" x14ac:dyDescent="0.2">
      <c r="B2814" s="92"/>
      <c r="C2814" s="92"/>
      <c r="D2814" s="93"/>
      <c r="E2814" s="94"/>
    </row>
    <row r="2815" spans="2:5" ht="15" x14ac:dyDescent="0.2">
      <c r="B2815" s="92"/>
      <c r="C2815" s="92"/>
      <c r="D2815" s="93"/>
      <c r="E2815" s="94"/>
    </row>
    <row r="2816" spans="2:5" ht="15" x14ac:dyDescent="0.2">
      <c r="B2816" s="92"/>
      <c r="C2816" s="92"/>
      <c r="D2816" s="93"/>
      <c r="E2816" s="94"/>
    </row>
    <row r="2817" spans="2:5" ht="15" x14ac:dyDescent="0.2">
      <c r="B2817" s="92"/>
      <c r="C2817" s="92"/>
      <c r="D2817" s="93"/>
      <c r="E2817" s="94"/>
    </row>
    <row r="2818" spans="2:5" ht="15" x14ac:dyDescent="0.2">
      <c r="B2818" s="92"/>
      <c r="C2818" s="92"/>
      <c r="D2818" s="93"/>
      <c r="E2818" s="94"/>
    </row>
    <row r="2819" spans="2:5" ht="15" x14ac:dyDescent="0.2">
      <c r="B2819" s="92"/>
      <c r="C2819" s="92"/>
      <c r="D2819" s="93"/>
      <c r="E2819" s="94"/>
    </row>
    <row r="2820" spans="2:5" ht="15" x14ac:dyDescent="0.2">
      <c r="B2820" s="92"/>
      <c r="C2820" s="92"/>
      <c r="D2820" s="93"/>
      <c r="E2820" s="94"/>
    </row>
    <row r="2821" spans="2:5" ht="15" x14ac:dyDescent="0.2">
      <c r="B2821" s="92"/>
      <c r="C2821" s="92"/>
      <c r="D2821" s="93"/>
      <c r="E2821" s="94"/>
    </row>
    <row r="2822" spans="2:5" ht="15" x14ac:dyDescent="0.2">
      <c r="B2822" s="92"/>
      <c r="C2822" s="92"/>
      <c r="D2822" s="93"/>
      <c r="E2822" s="94"/>
    </row>
    <row r="2823" spans="2:5" ht="15" x14ac:dyDescent="0.2">
      <c r="B2823" s="92"/>
      <c r="C2823" s="92"/>
      <c r="D2823" s="93"/>
      <c r="E2823" s="94"/>
    </row>
    <row r="2824" spans="2:5" ht="15" x14ac:dyDescent="0.2">
      <c r="B2824" s="92"/>
      <c r="C2824" s="92"/>
      <c r="D2824" s="93"/>
      <c r="E2824" s="94"/>
    </row>
    <row r="2825" spans="2:5" ht="15" x14ac:dyDescent="0.2">
      <c r="B2825" s="92"/>
      <c r="C2825" s="92"/>
      <c r="D2825" s="93"/>
      <c r="E2825" s="94"/>
    </row>
    <row r="2826" spans="2:5" ht="15" x14ac:dyDescent="0.2">
      <c r="B2826" s="92"/>
      <c r="C2826" s="92"/>
      <c r="D2826" s="93"/>
      <c r="E2826" s="94"/>
    </row>
    <row r="2827" spans="2:5" ht="15" x14ac:dyDescent="0.2">
      <c r="B2827" s="92"/>
      <c r="C2827" s="92"/>
      <c r="D2827" s="93"/>
      <c r="E2827" s="94"/>
    </row>
    <row r="2828" spans="2:5" ht="15" x14ac:dyDescent="0.2">
      <c r="B2828" s="92"/>
      <c r="C2828" s="92"/>
      <c r="D2828" s="93"/>
      <c r="E2828" s="94"/>
    </row>
    <row r="2829" spans="2:5" ht="15" x14ac:dyDescent="0.2">
      <c r="B2829" s="92"/>
      <c r="C2829" s="92"/>
      <c r="D2829" s="93"/>
      <c r="E2829" s="94"/>
    </row>
    <row r="2830" spans="2:5" ht="15" x14ac:dyDescent="0.2">
      <c r="B2830" s="92"/>
      <c r="C2830" s="92"/>
      <c r="D2830" s="93"/>
      <c r="E2830" s="94"/>
    </row>
    <row r="2831" spans="2:5" ht="15" x14ac:dyDescent="0.2">
      <c r="B2831" s="92"/>
      <c r="C2831" s="92"/>
      <c r="D2831" s="93"/>
      <c r="E2831" s="94"/>
    </row>
    <row r="2832" spans="2:5" ht="15" x14ac:dyDescent="0.2">
      <c r="B2832" s="92"/>
      <c r="C2832" s="92"/>
      <c r="D2832" s="93"/>
      <c r="E2832" s="94"/>
    </row>
    <row r="2833" spans="2:5" ht="15" x14ac:dyDescent="0.2">
      <c r="B2833" s="92"/>
      <c r="C2833" s="92"/>
      <c r="D2833" s="93"/>
      <c r="E2833" s="94"/>
    </row>
    <row r="2834" spans="2:5" ht="15" x14ac:dyDescent="0.2">
      <c r="B2834" s="92"/>
      <c r="C2834" s="92"/>
      <c r="D2834" s="93"/>
      <c r="E2834" s="94"/>
    </row>
    <row r="2835" spans="2:5" ht="15" x14ac:dyDescent="0.2">
      <c r="B2835" s="92"/>
      <c r="C2835" s="92"/>
      <c r="D2835" s="93"/>
      <c r="E2835" s="94"/>
    </row>
    <row r="2836" spans="2:5" ht="15" x14ac:dyDescent="0.2">
      <c r="B2836" s="92"/>
      <c r="C2836" s="92"/>
      <c r="D2836" s="93"/>
      <c r="E2836" s="94"/>
    </row>
    <row r="2837" spans="2:5" ht="15" x14ac:dyDescent="0.2">
      <c r="B2837" s="92"/>
      <c r="C2837" s="92"/>
      <c r="D2837" s="93"/>
      <c r="E2837" s="94"/>
    </row>
    <row r="2838" spans="2:5" ht="15" x14ac:dyDescent="0.2">
      <c r="B2838" s="92"/>
      <c r="C2838" s="92"/>
      <c r="D2838" s="93"/>
      <c r="E2838" s="94"/>
    </row>
    <row r="2839" spans="2:5" ht="15" x14ac:dyDescent="0.2">
      <c r="B2839" s="92"/>
      <c r="C2839" s="92"/>
      <c r="D2839" s="93"/>
      <c r="E2839" s="94"/>
    </row>
    <row r="2840" spans="2:5" ht="15" x14ac:dyDescent="0.2">
      <c r="B2840" s="92"/>
      <c r="C2840" s="92"/>
      <c r="D2840" s="93"/>
      <c r="E2840" s="94"/>
    </row>
    <row r="2841" spans="2:5" ht="15" x14ac:dyDescent="0.2">
      <c r="B2841" s="92"/>
      <c r="C2841" s="92"/>
      <c r="D2841" s="93"/>
      <c r="E2841" s="94"/>
    </row>
    <row r="2842" spans="2:5" ht="15" x14ac:dyDescent="0.2">
      <c r="B2842" s="92"/>
      <c r="C2842" s="92"/>
      <c r="D2842" s="93"/>
      <c r="E2842" s="94"/>
    </row>
    <row r="2843" spans="2:5" ht="15" x14ac:dyDescent="0.2">
      <c r="B2843" s="92"/>
      <c r="C2843" s="92"/>
      <c r="D2843" s="93"/>
      <c r="E2843" s="94"/>
    </row>
    <row r="2844" spans="2:5" ht="15" x14ac:dyDescent="0.2">
      <c r="B2844" s="92"/>
      <c r="C2844" s="92"/>
      <c r="D2844" s="93"/>
      <c r="E2844" s="94"/>
    </row>
    <row r="2845" spans="2:5" ht="15" x14ac:dyDescent="0.2">
      <c r="B2845" s="92"/>
      <c r="C2845" s="92"/>
      <c r="D2845" s="93"/>
      <c r="E2845" s="94"/>
    </row>
    <row r="2846" spans="2:5" ht="15" x14ac:dyDescent="0.2">
      <c r="B2846" s="92"/>
      <c r="C2846" s="92"/>
      <c r="D2846" s="93"/>
      <c r="E2846" s="94"/>
    </row>
    <row r="2847" spans="2:5" ht="15" x14ac:dyDescent="0.2">
      <c r="B2847" s="92"/>
      <c r="C2847" s="92"/>
      <c r="D2847" s="93"/>
      <c r="E2847" s="94"/>
    </row>
    <row r="2848" spans="2:5" ht="15" x14ac:dyDescent="0.2">
      <c r="B2848" s="92"/>
      <c r="C2848" s="92"/>
      <c r="D2848" s="93"/>
      <c r="E2848" s="94"/>
    </row>
    <row r="2849" spans="1:5" ht="15" x14ac:dyDescent="0.2">
      <c r="B2849" s="92"/>
      <c r="C2849" s="92"/>
      <c r="D2849" s="93"/>
      <c r="E2849" s="94"/>
    </row>
    <row r="2850" spans="1:5" ht="15" x14ac:dyDescent="0.2">
      <c r="B2850" s="92"/>
      <c r="C2850" s="92"/>
      <c r="D2850" s="93"/>
      <c r="E2850" s="94"/>
    </row>
    <row r="2851" spans="1:5" ht="15" x14ac:dyDescent="0.2">
      <c r="B2851" s="92"/>
      <c r="C2851" s="92"/>
      <c r="D2851" s="93"/>
      <c r="E2851" s="94"/>
    </row>
    <row r="2852" spans="1:5" ht="15" x14ac:dyDescent="0.2">
      <c r="B2852" s="92"/>
      <c r="C2852" s="92"/>
      <c r="D2852" s="93"/>
      <c r="E2852" s="94"/>
    </row>
    <row r="2853" spans="1:5" ht="15" x14ac:dyDescent="0.2">
      <c r="B2853" s="92"/>
      <c r="C2853" s="92"/>
      <c r="D2853" s="93"/>
      <c r="E2853" s="94"/>
    </row>
    <row r="2854" spans="1:5" ht="15" x14ac:dyDescent="0.2">
      <c r="B2854" s="92"/>
      <c r="C2854" s="92"/>
      <c r="D2854" s="93"/>
      <c r="E2854" s="94"/>
    </row>
    <row r="2855" spans="1:5" ht="15" x14ac:dyDescent="0.2">
      <c r="B2855" s="92"/>
      <c r="C2855" s="92"/>
      <c r="D2855" s="93"/>
      <c r="E2855" s="94"/>
    </row>
    <row r="2856" spans="1:5" ht="15" x14ac:dyDescent="0.2">
      <c r="B2856" s="92"/>
      <c r="C2856" s="92"/>
      <c r="D2856" s="93"/>
      <c r="E2856" s="94"/>
    </row>
    <row r="2857" spans="1:5" ht="15" x14ac:dyDescent="0.2">
      <c r="B2857" s="92"/>
      <c r="C2857" s="92"/>
      <c r="D2857" s="93"/>
      <c r="E2857" s="94"/>
    </row>
    <row r="2858" spans="1:5" ht="15" x14ac:dyDescent="0.2">
      <c r="B2858" s="92"/>
      <c r="C2858" s="92"/>
      <c r="D2858" s="93"/>
      <c r="E2858" s="94"/>
    </row>
    <row r="2860" spans="1:5" x14ac:dyDescent="0.2">
      <c r="A2860" t="s">
        <v>2454</v>
      </c>
      <c r="B2860" t="s">
        <v>2453</v>
      </c>
    </row>
  </sheetData>
  <autoFilter ref="A1:E275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topLeftCell="A9" workbookViewId="0">
      <selection activeCell="M19" sqref="M19"/>
    </sheetView>
  </sheetViews>
  <sheetFormatPr defaultRowHeight="12.75" x14ac:dyDescent="0.2"/>
  <cols>
    <col min="2" max="2" width="7.5" customWidth="1"/>
    <col min="3" max="3" width="44.6640625" customWidth="1"/>
    <col min="4" max="4" width="9.33203125" style="59"/>
    <col min="5" max="5" width="6.5" style="60" customWidth="1"/>
    <col min="6" max="6" width="14.1640625" style="60" customWidth="1"/>
    <col min="7" max="7" width="24.5" customWidth="1"/>
  </cols>
  <sheetData>
    <row r="1" spans="1:7" x14ac:dyDescent="0.2">
      <c r="A1" s="42"/>
      <c r="B1" s="45"/>
      <c r="C1" s="47"/>
      <c r="D1" s="55"/>
      <c r="E1" s="52"/>
      <c r="F1" s="52"/>
      <c r="G1" s="48"/>
    </row>
    <row r="2" spans="1:7" ht="20.25" x14ac:dyDescent="0.2">
      <c r="A2" s="123" t="s">
        <v>2405</v>
      </c>
      <c r="B2" s="123"/>
      <c r="C2" s="123"/>
      <c r="D2" s="54"/>
      <c r="E2" s="124" t="s">
        <v>2403</v>
      </c>
      <c r="F2" s="124"/>
      <c r="G2" s="124"/>
    </row>
    <row r="3" spans="1:7" x14ac:dyDescent="0.2">
      <c r="A3" s="125"/>
      <c r="B3" s="125"/>
      <c r="C3" s="126"/>
      <c r="D3" s="56"/>
      <c r="E3" s="127" t="s">
        <v>2406</v>
      </c>
      <c r="F3" s="128"/>
      <c r="G3" s="128"/>
    </row>
    <row r="4" spans="1:7" x14ac:dyDescent="0.2">
      <c r="A4" s="42"/>
      <c r="B4" s="45"/>
      <c r="C4" s="47"/>
      <c r="D4" s="55"/>
      <c r="E4" s="129" t="s">
        <v>2418</v>
      </c>
      <c r="F4" s="122"/>
      <c r="G4" s="122"/>
    </row>
    <row r="5" spans="1:7" x14ac:dyDescent="0.2">
      <c r="A5" s="121" t="s">
        <v>2420</v>
      </c>
      <c r="B5" s="121"/>
      <c r="C5" s="121"/>
      <c r="D5" s="55"/>
      <c r="E5" s="122" t="s">
        <v>2419</v>
      </c>
      <c r="F5" s="122"/>
      <c r="G5" s="122"/>
    </row>
    <row r="6" spans="1:7" x14ac:dyDescent="0.2">
      <c r="A6" s="121" t="s">
        <v>2421</v>
      </c>
      <c r="B6" s="121"/>
      <c r="C6" s="121"/>
      <c r="D6" s="55"/>
      <c r="E6" s="52"/>
      <c r="F6" s="52"/>
      <c r="G6" s="48"/>
    </row>
    <row r="7" spans="1:7" x14ac:dyDescent="0.2">
      <c r="A7" s="42"/>
      <c r="B7" s="45"/>
      <c r="C7" s="47"/>
      <c r="D7" s="55"/>
      <c r="E7" s="52"/>
      <c r="F7" s="52"/>
      <c r="G7" s="48"/>
    </row>
    <row r="8" spans="1:7" x14ac:dyDescent="0.2">
      <c r="A8" s="139" t="s">
        <v>2407</v>
      </c>
      <c r="B8" s="139"/>
      <c r="C8" s="133" t="s">
        <v>2426</v>
      </c>
      <c r="D8" s="133"/>
      <c r="E8" s="133"/>
      <c r="F8" s="133"/>
      <c r="G8" s="133"/>
    </row>
    <row r="9" spans="1:7" x14ac:dyDescent="0.2">
      <c r="A9" s="121" t="s">
        <v>2408</v>
      </c>
      <c r="B9" s="121"/>
      <c r="C9" s="133" t="s">
        <v>2422</v>
      </c>
      <c r="D9" s="133"/>
      <c r="E9" s="133"/>
      <c r="F9" s="133"/>
      <c r="G9" s="133"/>
    </row>
    <row r="10" spans="1:7" x14ac:dyDescent="0.2">
      <c r="A10" s="121" t="s">
        <v>2404</v>
      </c>
      <c r="B10" s="121"/>
      <c r="C10" s="134" t="s">
        <v>2423</v>
      </c>
      <c r="D10" s="134"/>
      <c r="E10" s="134"/>
      <c r="F10" s="134"/>
      <c r="G10" s="134"/>
    </row>
    <row r="11" spans="1:7" x14ac:dyDescent="0.2">
      <c r="A11" s="44"/>
      <c r="B11" s="46"/>
      <c r="C11" s="43"/>
      <c r="D11" s="57"/>
      <c r="E11" s="58"/>
      <c r="F11" s="58"/>
      <c r="G11" s="49"/>
    </row>
    <row r="12" spans="1:7" x14ac:dyDescent="0.2">
      <c r="A12" s="65" t="s">
        <v>2409</v>
      </c>
      <c r="B12" s="66" t="s">
        <v>2410</v>
      </c>
      <c r="C12" s="67" t="s">
        <v>2411</v>
      </c>
      <c r="D12" s="68" t="s">
        <v>2372</v>
      </c>
      <c r="E12" s="69" t="s">
        <v>2450</v>
      </c>
      <c r="F12" s="69" t="s">
        <v>2412</v>
      </c>
      <c r="G12" s="70" t="s">
        <v>2413</v>
      </c>
    </row>
    <row r="13" spans="1:7" ht="15" x14ac:dyDescent="0.2">
      <c r="A13" s="71">
        <v>1</v>
      </c>
      <c r="B13" s="64" t="s">
        <v>2427</v>
      </c>
      <c r="C13" s="62" t="s">
        <v>1317</v>
      </c>
      <c r="D13" s="63" t="str">
        <f>IFERROR(VLOOKUP($C13,'Danh muc HH'!B2:D2758,2,0),"")</f>
        <v>Hộp</v>
      </c>
      <c r="E13" s="63">
        <v>1</v>
      </c>
      <c r="F13" s="76">
        <f>IFERROR(VLOOKUP($C13,'Danh muc HH'!B2:D2758,3,0),"")</f>
        <v>25000</v>
      </c>
      <c r="G13" s="76">
        <f>IFERROR(E13*F13,"")</f>
        <v>25000</v>
      </c>
    </row>
    <row r="14" spans="1:7" ht="15" x14ac:dyDescent="0.2">
      <c r="A14" s="71">
        <v>2</v>
      </c>
      <c r="B14" s="64" t="s">
        <v>2431</v>
      </c>
      <c r="C14" s="62" t="s">
        <v>2444</v>
      </c>
      <c r="D14" s="63" t="str">
        <f>IFERROR(VLOOKUP($C14,'Danh muc HH'!B2:D2859,2,0),"")</f>
        <v>Hộp</v>
      </c>
      <c r="E14" s="63">
        <v>3</v>
      </c>
      <c r="F14" s="76">
        <f>IFERROR(VLOOKUP($C14,'Danh muc HH'!B2:D2859,3,0),"")</f>
        <v>152000</v>
      </c>
      <c r="G14" s="76">
        <f t="shared" ref="G14:G22" si="0">IFERROR(E14*F14,"")</f>
        <v>456000</v>
      </c>
    </row>
    <row r="15" spans="1:7" ht="15" x14ac:dyDescent="0.2">
      <c r="A15" s="71">
        <v>3</v>
      </c>
      <c r="B15" s="64" t="s">
        <v>2430</v>
      </c>
      <c r="C15" s="62" t="s">
        <v>2445</v>
      </c>
      <c r="D15" s="63" t="str">
        <f>IFERROR(VLOOKUP($C15,'Danh muc HH'!B2:D2860,2,0),"")</f>
        <v>Chai</v>
      </c>
      <c r="E15" s="63">
        <v>4</v>
      </c>
      <c r="F15" s="76">
        <f>IFERROR(VLOOKUP($C15,'Danh muc HH'!B2:D2860,3,0),"")</f>
        <v>31000</v>
      </c>
      <c r="G15" s="76">
        <f t="shared" si="0"/>
        <v>124000</v>
      </c>
    </row>
    <row r="16" spans="1:7" ht="15" x14ac:dyDescent="0.2">
      <c r="A16" s="71">
        <v>4</v>
      </c>
      <c r="B16" s="64" t="s">
        <v>2431</v>
      </c>
      <c r="C16" s="62" t="s">
        <v>2446</v>
      </c>
      <c r="D16" s="63" t="str">
        <f>IFERROR(VLOOKUP($C16,'Danh muc HH'!B2:D2861,2,0),"")</f>
        <v>Hộp</v>
      </c>
      <c r="E16" s="63">
        <v>5</v>
      </c>
      <c r="F16" s="76">
        <f>IFERROR(VLOOKUP($C16,'Danh muc HH'!B2:D2861,3,0),"")</f>
        <v>20000</v>
      </c>
      <c r="G16" s="76">
        <f t="shared" si="0"/>
        <v>100000</v>
      </c>
    </row>
    <row r="17" spans="1:7" ht="15" x14ac:dyDescent="0.2">
      <c r="A17" s="71">
        <v>5</v>
      </c>
      <c r="B17" s="64" t="s">
        <v>2432</v>
      </c>
      <c r="C17" s="62" t="s">
        <v>2447</v>
      </c>
      <c r="D17" s="63" t="str">
        <f>IFERROR(VLOOKUP($C17,'Danh muc HH'!B2:D2862,2,0),"")</f>
        <v>Hộp</v>
      </c>
      <c r="E17" s="63">
        <v>6</v>
      </c>
      <c r="F17" s="76">
        <f>IFERROR(VLOOKUP($C17,'Danh muc HH'!B2:D2862,3,0),"")</f>
        <v>45000</v>
      </c>
      <c r="G17" s="76">
        <f t="shared" si="0"/>
        <v>270000</v>
      </c>
    </row>
    <row r="18" spans="1:7" ht="15" x14ac:dyDescent="0.2">
      <c r="A18" s="71">
        <v>6</v>
      </c>
      <c r="B18" s="64" t="s">
        <v>2432</v>
      </c>
      <c r="C18" s="62" t="s">
        <v>2448</v>
      </c>
      <c r="D18" s="63" t="str">
        <f>IFERROR(VLOOKUP($C18,'Danh muc HH'!B2:D2863,2,0),"")</f>
        <v>Chai</v>
      </c>
      <c r="E18" s="63">
        <v>2</v>
      </c>
      <c r="F18" s="76">
        <f>IFERROR(VLOOKUP($C18,'Danh muc HH'!B2:D2863,3,0),"")</f>
        <v>24000</v>
      </c>
      <c r="G18" s="76">
        <f t="shared" si="0"/>
        <v>48000</v>
      </c>
    </row>
    <row r="19" spans="1:7" ht="15" x14ac:dyDescent="0.2">
      <c r="A19" s="71">
        <v>7</v>
      </c>
      <c r="B19" s="64" t="s">
        <v>2443</v>
      </c>
      <c r="C19" s="62" t="s">
        <v>2449</v>
      </c>
      <c r="D19" s="63" t="str">
        <f>IFERROR(VLOOKUP($C19,'Danh muc HH'!B2:D2864,2,0),"")</f>
        <v>Hộp</v>
      </c>
      <c r="E19" s="63">
        <v>7</v>
      </c>
      <c r="F19" s="76">
        <f>IFERROR(VLOOKUP($C19,'Danh muc HH'!B2:D2864,3,0),"")</f>
        <v>168000</v>
      </c>
      <c r="G19" s="76">
        <f t="shared" si="0"/>
        <v>1176000</v>
      </c>
    </row>
    <row r="20" spans="1:7" ht="15" x14ac:dyDescent="0.2">
      <c r="A20" s="71">
        <v>8</v>
      </c>
      <c r="B20" s="64" t="s">
        <v>2433</v>
      </c>
      <c r="C20" s="62" t="s">
        <v>2451</v>
      </c>
      <c r="D20" s="63" t="str">
        <f>IFERROR(VLOOKUP($C20,'Danh muc HH'!B2:D2865,2,0),"")</f>
        <v>Gói</v>
      </c>
      <c r="E20" s="63">
        <v>10</v>
      </c>
      <c r="F20" s="76">
        <f>IFERROR(VLOOKUP($C20,'Danh muc HH'!B2:D2865,3,0),"")</f>
        <v>3000</v>
      </c>
      <c r="G20" s="76">
        <f t="shared" si="0"/>
        <v>30000</v>
      </c>
    </row>
    <row r="21" spans="1:7" ht="15" x14ac:dyDescent="0.2">
      <c r="A21" s="71">
        <v>9</v>
      </c>
      <c r="B21" s="64" t="s">
        <v>2424</v>
      </c>
      <c r="C21" s="62" t="s">
        <v>1314</v>
      </c>
      <c r="D21" s="63" t="str">
        <f>IFERROR(VLOOKUP($C21,'Danh muc HH'!B2:D2866,2,0),"")</f>
        <v>Hộp</v>
      </c>
      <c r="E21" s="63">
        <v>2</v>
      </c>
      <c r="F21" s="76">
        <f>IFERROR(VLOOKUP($C21,'Danh muc HH'!B2:D2866,3,0),"")</f>
        <v>37000</v>
      </c>
      <c r="G21" s="76">
        <f t="shared" si="0"/>
        <v>74000</v>
      </c>
    </row>
    <row r="22" spans="1:7" ht="15" x14ac:dyDescent="0.2">
      <c r="A22" s="71">
        <v>10</v>
      </c>
      <c r="B22" s="64" t="s">
        <v>2434</v>
      </c>
      <c r="C22" s="62" t="s">
        <v>2452</v>
      </c>
      <c r="D22" s="63" t="str">
        <f>IFERROR(VLOOKUP($C22,'Danh muc HH'!B2:D2867,2,0),"")</f>
        <v>Chai</v>
      </c>
      <c r="E22" s="63">
        <v>5</v>
      </c>
      <c r="F22" s="76">
        <f>IFERROR(VLOOKUP($C22,'Danh muc HH'!B111:D2867,3,0),"")</f>
        <v>76000</v>
      </c>
      <c r="G22" s="76">
        <f t="shared" si="0"/>
        <v>380000</v>
      </c>
    </row>
    <row r="23" spans="1:7" ht="15" x14ac:dyDescent="0.2">
      <c r="A23" s="71">
        <v>11</v>
      </c>
      <c r="B23" s="64"/>
      <c r="C23" s="62"/>
      <c r="D23" s="63" t="str">
        <f>IFERROR(VLOOKUP($C23,'Danh muc HH'!B2:D2868,2,0),"")</f>
        <v/>
      </c>
      <c r="E23" s="63"/>
      <c r="F23" s="61" t="str">
        <f>IFERROR(VLOOKUP($C23,'Danh muc HH'!B112:D2868,3,0),"")</f>
        <v/>
      </c>
      <c r="G23" s="29"/>
    </row>
    <row r="24" spans="1:7" ht="15" x14ac:dyDescent="0.2">
      <c r="A24" s="71">
        <v>12</v>
      </c>
      <c r="B24" s="64"/>
      <c r="C24" s="62"/>
      <c r="D24" s="63" t="str">
        <f>IFERROR(VLOOKUP($C24,'Danh muc HH'!B5:D2869,2,0),"")</f>
        <v/>
      </c>
      <c r="E24" s="63"/>
      <c r="F24" s="61" t="str">
        <f>IFERROR(VLOOKUP($C24,'Danh muc HH'!B113:D2869,3,0),"")</f>
        <v/>
      </c>
      <c r="G24" s="29"/>
    </row>
    <row r="25" spans="1:7" ht="15" x14ac:dyDescent="0.2">
      <c r="A25" s="71">
        <v>13</v>
      </c>
      <c r="B25" s="64"/>
      <c r="C25" s="62"/>
      <c r="D25" s="63" t="str">
        <f>IFERROR(VLOOKUP($C25,'Danh muc HH'!B5:D2870,2,0),"")</f>
        <v/>
      </c>
      <c r="E25" s="63"/>
      <c r="F25" s="61" t="str">
        <f>IFERROR(VLOOKUP($C25,'Danh muc HH'!B114:D2870,3,0),"")</f>
        <v/>
      </c>
      <c r="G25" s="29"/>
    </row>
    <row r="26" spans="1:7" ht="15" x14ac:dyDescent="0.2">
      <c r="A26" s="71">
        <v>14</v>
      </c>
      <c r="B26" s="64"/>
      <c r="C26" s="62"/>
      <c r="D26" s="63" t="str">
        <f>IFERROR(VLOOKUP($C26,'Danh muc HH'!B5:D2871,2,0),"")</f>
        <v/>
      </c>
      <c r="E26" s="63"/>
      <c r="F26" s="61" t="str">
        <f>IFERROR(VLOOKUP($C26,'Danh muc HH'!B115:D2871,3,0),"")</f>
        <v/>
      </c>
      <c r="G26" s="29"/>
    </row>
    <row r="27" spans="1:7" ht="15" x14ac:dyDescent="0.2">
      <c r="A27" s="71">
        <v>15</v>
      </c>
      <c r="B27" s="64"/>
      <c r="C27" s="62"/>
      <c r="D27" s="63" t="str">
        <f>IFERROR(VLOOKUP($C27,'Danh muc HH'!B108:D2872,2,0),"")</f>
        <v/>
      </c>
      <c r="E27" s="63"/>
      <c r="F27" s="61" t="str">
        <f>IFERROR(VLOOKUP($C27,'Danh muc HH'!B116:D2872,3,0),"")</f>
        <v/>
      </c>
      <c r="G27" s="29"/>
    </row>
    <row r="28" spans="1:7" ht="15" x14ac:dyDescent="0.2">
      <c r="A28" s="71">
        <v>16</v>
      </c>
      <c r="B28" s="64"/>
      <c r="C28" s="62"/>
      <c r="D28" s="63" t="str">
        <f>IFERROR(VLOOKUP($C28,'Danh muc HH'!B108:D2873,2,0),"")</f>
        <v/>
      </c>
      <c r="E28" s="63"/>
      <c r="F28" s="61" t="str">
        <f>IFERROR(VLOOKUP($C28,'Danh muc HH'!B117:D2873,3,0),"")</f>
        <v/>
      </c>
      <c r="G28" s="29"/>
    </row>
    <row r="29" spans="1:7" ht="15" x14ac:dyDescent="0.2">
      <c r="A29" s="71">
        <v>17</v>
      </c>
      <c r="B29" s="64"/>
      <c r="C29" s="62"/>
      <c r="D29" s="63" t="str">
        <f>IFERROR(VLOOKUP($C29,'Danh muc HH'!B108:D2874,2,0),"")</f>
        <v/>
      </c>
      <c r="E29" s="63"/>
      <c r="F29" s="61" t="str">
        <f>IFERROR(VLOOKUP($C29,'Danh muc HH'!B118:D2874,3,0),"")</f>
        <v/>
      </c>
      <c r="G29" s="29"/>
    </row>
    <row r="30" spans="1:7" ht="15" x14ac:dyDescent="0.2">
      <c r="A30" s="71">
        <v>18</v>
      </c>
      <c r="B30" s="64"/>
      <c r="C30" s="62"/>
      <c r="D30" s="63" t="str">
        <f>IFERROR(VLOOKUP($C30,'Danh muc HH'!B111:D2875,2,0),"")</f>
        <v/>
      </c>
      <c r="E30" s="63"/>
      <c r="F30" s="61" t="str">
        <f>IFERROR(VLOOKUP($C30,'Danh muc HH'!B119:D2875,3,0),"")</f>
        <v/>
      </c>
      <c r="G30" s="29"/>
    </row>
    <row r="31" spans="1:7" ht="15" x14ac:dyDescent="0.2">
      <c r="A31" s="71">
        <v>19</v>
      </c>
      <c r="B31" s="64"/>
      <c r="C31" s="62"/>
      <c r="D31" s="63" t="str">
        <f>IFERROR(VLOOKUP($C31,'Danh muc HH'!B111:D2876,2,0),"")</f>
        <v/>
      </c>
      <c r="E31" s="63"/>
      <c r="F31" s="61" t="str">
        <f>IFERROR(VLOOKUP($C31,'Danh muc HH'!B120:D2876,3,0),"")</f>
        <v/>
      </c>
      <c r="G31" s="29"/>
    </row>
    <row r="32" spans="1:7" ht="15" x14ac:dyDescent="0.2">
      <c r="A32" s="71">
        <v>20</v>
      </c>
      <c r="B32" s="64"/>
      <c r="C32" s="62"/>
      <c r="D32" s="63" t="str">
        <f>IFERROR(VLOOKUP($C32,'Danh muc HH'!B111:D2877,2,0),"")</f>
        <v/>
      </c>
      <c r="E32" s="63"/>
      <c r="F32" s="61" t="str">
        <f>IFERROR(VLOOKUP($C32,'Danh muc HH'!B121:D2877,3,0),"")</f>
        <v/>
      </c>
      <c r="G32" s="29"/>
    </row>
    <row r="33" spans="1:7" ht="15.75" thickBot="1" x14ac:dyDescent="0.25">
      <c r="A33" s="135" t="s">
        <v>2414</v>
      </c>
      <c r="B33" s="136"/>
      <c r="C33" s="136"/>
      <c r="D33" s="72"/>
      <c r="E33" s="73">
        <f>SUM(E13:E32)</f>
        <v>45</v>
      </c>
      <c r="F33" s="73"/>
      <c r="G33" s="76">
        <f>SUM(G13:G32)</f>
        <v>2683000</v>
      </c>
    </row>
    <row r="34" spans="1:7" ht="13.5" thickTop="1" x14ac:dyDescent="0.2">
      <c r="A34" s="44"/>
      <c r="B34" s="46"/>
      <c r="C34" s="43"/>
      <c r="D34" s="57"/>
      <c r="E34" s="58"/>
      <c r="F34" s="58"/>
      <c r="G34" s="49"/>
    </row>
    <row r="35" spans="1:7" ht="15" x14ac:dyDescent="0.2">
      <c r="A35" s="137" t="s">
        <v>2415</v>
      </c>
      <c r="B35" s="137"/>
      <c r="C35" s="137"/>
      <c r="D35" s="138" t="str">
        <f>[1]!UNI(G33)</f>
        <v xml:space="preserve">Hai triệu sáu trăm tám mươi ba nghìn đồng </v>
      </c>
      <c r="E35" s="138"/>
      <c r="F35" s="138"/>
      <c r="G35" s="138"/>
    </row>
    <row r="36" spans="1:7" x14ac:dyDescent="0.2">
      <c r="A36" s="84"/>
      <c r="B36" s="85"/>
      <c r="C36" s="86"/>
      <c r="D36" s="87"/>
      <c r="E36" s="88"/>
      <c r="F36" s="88"/>
      <c r="G36" s="89"/>
    </row>
    <row r="37" spans="1:7" x14ac:dyDescent="0.2">
      <c r="A37" s="84"/>
      <c r="B37" s="85"/>
      <c r="C37" s="86"/>
      <c r="D37" s="87"/>
      <c r="E37" s="130">
        <f ca="1">TODAY()</f>
        <v>45463</v>
      </c>
      <c r="F37" s="130"/>
      <c r="G37" s="130"/>
    </row>
    <row r="38" spans="1:7" x14ac:dyDescent="0.2">
      <c r="A38" s="84"/>
      <c r="B38" s="85"/>
      <c r="C38" s="86"/>
      <c r="D38" s="87"/>
      <c r="E38" s="91"/>
      <c r="F38" s="91"/>
      <c r="G38" s="91"/>
    </row>
    <row r="39" spans="1:7" x14ac:dyDescent="0.2">
      <c r="A39" s="131" t="s">
        <v>2416</v>
      </c>
      <c r="B39" s="131"/>
      <c r="C39" s="131"/>
      <c r="D39" s="90"/>
      <c r="E39" s="132" t="s">
        <v>2417</v>
      </c>
      <c r="F39" s="132"/>
      <c r="G39" s="132"/>
    </row>
    <row r="40" spans="1:7" x14ac:dyDescent="0.2">
      <c r="A40" s="42"/>
      <c r="B40" s="45"/>
      <c r="C40" s="47"/>
      <c r="D40" s="55"/>
      <c r="E40" s="52"/>
      <c r="F40" s="52"/>
      <c r="G40" s="48"/>
    </row>
  </sheetData>
  <mergeCells count="20">
    <mergeCell ref="E37:G37"/>
    <mergeCell ref="A39:C39"/>
    <mergeCell ref="E39:G39"/>
    <mergeCell ref="C8:G8"/>
    <mergeCell ref="C9:G9"/>
    <mergeCell ref="C10:G10"/>
    <mergeCell ref="A33:C33"/>
    <mergeCell ref="A35:C35"/>
    <mergeCell ref="D35:G35"/>
    <mergeCell ref="A8:B8"/>
    <mergeCell ref="A9:B9"/>
    <mergeCell ref="A10:B10"/>
    <mergeCell ref="A5:C5"/>
    <mergeCell ref="E5:G5"/>
    <mergeCell ref="A6:C6"/>
    <mergeCell ref="A2:C2"/>
    <mergeCell ref="E2:G2"/>
    <mergeCell ref="A3:C3"/>
    <mergeCell ref="E3:G3"/>
    <mergeCell ref="E4:G4"/>
  </mergeCells>
  <dataValidations count="11">
    <dataValidation type="list" allowBlank="1" showInputMessage="1" showErrorMessage="1" sqref="C13:C32" xr:uid="{00000000-0002-0000-0600-000000000000}">
      <formula1>INDIRECT($B13)</formula1>
    </dataValidation>
    <dataValidation type="list" allowBlank="1" showInputMessage="1" showErrorMessage="1" sqref="D6" xr:uid="{00000000-0002-0000-0600-000001000000}">
      <formula1>INDIRECT($B22)</formula1>
    </dataValidation>
    <dataValidation type="list" allowBlank="1" showInputMessage="1" showErrorMessage="1" sqref="D7" xr:uid="{00000000-0002-0000-0600-000002000000}">
      <formula1>INDIRECT($B22)</formula1>
    </dataValidation>
    <dataValidation type="list" allowBlank="1" showInputMessage="1" showErrorMessage="1" sqref="D33:D34 D36:D38" xr:uid="{00000000-0002-0000-0600-000003000000}">
      <formula1>INDIRECT($B39)</formula1>
    </dataValidation>
    <dataValidation type="list" allowBlank="1" showInputMessage="1" showErrorMessage="1" sqref="C1:C12 C33:C1048576" xr:uid="{00000000-0002-0000-0600-000004000000}">
      <formula1>TENSP</formula1>
    </dataValidation>
    <dataValidation type="list" allowBlank="1" showInputMessage="1" showErrorMessage="1" sqref="D2:D3" xr:uid="{00000000-0002-0000-0600-000005000000}">
      <formula1>INDIRECT($B11)</formula1>
    </dataValidation>
    <dataValidation type="list" allowBlank="1" showInputMessage="1" showErrorMessage="1" sqref="D4:D5" xr:uid="{00000000-0002-0000-0600-000006000000}">
      <formula1>INDIRECT($B21)</formula1>
    </dataValidation>
    <dataValidation type="list" allowBlank="1" showInputMessage="1" showErrorMessage="1" sqref="E13 F13:F24 D11:D24" xr:uid="{00000000-0002-0000-0600-000007000000}">
      <formula1>INDIRECT($B24)</formula1>
    </dataValidation>
    <dataValidation type="list" allowBlank="1" showInputMessage="1" showErrorMessage="1" sqref="B1:B7 B11:B1048576" xr:uid="{00000000-0002-0000-0600-000008000000}">
      <formula1>NHOMHANG</formula1>
    </dataValidation>
    <dataValidation type="list" allowBlank="1" showInputMessage="1" showErrorMessage="1" sqref="D39:D40" xr:uid="{00000000-0002-0000-0600-000009000000}">
      <formula1>INDIRECT($B44)</formula1>
    </dataValidation>
    <dataValidation type="list" allowBlank="1" showInputMessage="1" showErrorMessage="1" sqref="D25:D32 F25:F32" xr:uid="{00000000-0002-0000-0600-00000A000000}">
      <formula1>INDIRECT($B39)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E9" sqref="E9"/>
    </sheetView>
  </sheetViews>
  <sheetFormatPr defaultRowHeight="12.75" x14ac:dyDescent="0.2"/>
  <cols>
    <col min="2" max="2" width="41" bestFit="1" customWidth="1"/>
  </cols>
  <sheetData>
    <row r="1" spans="1:2" x14ac:dyDescent="0.2">
      <c r="A1">
        <v>2229000</v>
      </c>
      <c r="B1" t="str">
        <f>[1]!UNI(A1)</f>
        <v xml:space="preserve">Hai triệu hai trăm hai mươi chín nghìn đồng </v>
      </c>
    </row>
    <row r="2" spans="1:2" x14ac:dyDescent="0.2">
      <c r="A2" s="75">
        <v>2683000</v>
      </c>
      <c r="B2" t="str">
        <f>[1]!UNI(A2)</f>
        <v xml:space="preserve">Hai triệu sáu trăm tám mươi ba nghìn đồng 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20</vt:i4>
      </vt:variant>
    </vt:vector>
  </HeadingPairs>
  <TitlesOfParts>
    <vt:vector size="28" baseType="lpstr">
      <vt:lpstr>Table 1</vt:lpstr>
      <vt:lpstr>Danh Muc</vt:lpstr>
      <vt:lpstr>QLSP</vt:lpstr>
      <vt:lpstr>XNT</vt:lpstr>
      <vt:lpstr>Khach Hang</vt:lpstr>
      <vt:lpstr>Danh muc HH</vt:lpstr>
      <vt:lpstr>Hoa don</vt:lpstr>
      <vt:lpstr>Sheet1</vt:lpstr>
      <vt:lpstr>GroupA</vt:lpstr>
      <vt:lpstr>GroupB</vt:lpstr>
      <vt:lpstr>GroupC</vt:lpstr>
      <vt:lpstr>GroupD</vt:lpstr>
      <vt:lpstr>GroupE</vt:lpstr>
      <vt:lpstr>GroupF</vt:lpstr>
      <vt:lpstr>GroupG</vt:lpstr>
      <vt:lpstr>GroupH</vt:lpstr>
      <vt:lpstr>GroupI</vt:lpstr>
      <vt:lpstr>GroupK</vt:lpstr>
      <vt:lpstr>GroupL</vt:lpstr>
      <vt:lpstr>GroupM</vt:lpstr>
      <vt:lpstr>GroupN</vt:lpstr>
      <vt:lpstr>GroupO</vt:lpstr>
      <vt:lpstr>GroupP</vt:lpstr>
      <vt:lpstr>GroupR</vt:lpstr>
      <vt:lpstr>GroupS</vt:lpstr>
      <vt:lpstr>GroupTH</vt:lpstr>
      <vt:lpstr>NHOMHANG</vt:lpstr>
      <vt:lpstr>NUMB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2022-03-24T01:59:10Z</dcterms:created>
  <dcterms:modified xsi:type="dcterms:W3CDTF">2024-06-20T03:28:23Z</dcterms:modified>
</cp:coreProperties>
</file>